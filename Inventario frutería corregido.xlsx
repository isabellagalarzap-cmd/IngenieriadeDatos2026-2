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ACEMA\Documents\Mel UR\"/>
    </mc:Choice>
  </mc:AlternateContent>
  <xr:revisionPtr revIDLastSave="0" documentId="13_ncr:1_{A0A88609-6D1C-49C2-9CA6-E0C49FAC81E8}" xr6:coauthVersionLast="47" xr6:coauthVersionMax="47" xr10:uidLastSave="{00000000-0000-0000-0000-000000000000}"/>
  <bookViews>
    <workbookView xWindow="-120" yWindow="-120" windowWidth="20730" windowHeight="11040" firstSheet="2" activeTab="5" xr2:uid="{2527A538-3907-4B9E-B03A-A906255EF59F}"/>
  </bookViews>
  <sheets>
    <sheet name="Datos" sheetId="1" r:id="rId1"/>
    <sheet name="Limpieza" sheetId="2" r:id="rId2"/>
    <sheet name="Univariado" sheetId="3" r:id="rId3"/>
    <sheet name="Bivariado" sheetId="4" r:id="rId4"/>
    <sheet name="Correlación" sheetId="5" r:id="rId5"/>
    <sheet name="Hoja1" sheetId="7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3" i="5"/>
  <c r="B10" i="4"/>
  <c r="B4" i="4"/>
  <c r="B5" i="4"/>
  <c r="B3" i="4"/>
  <c r="G2" i="2"/>
  <c r="G6" i="2"/>
  <c r="B7" i="3"/>
  <c r="B8" i="3"/>
  <c r="B6" i="3"/>
  <c r="B5" i="3"/>
  <c r="B4" i="3"/>
  <c r="B3" i="3"/>
  <c r="B2" i="3"/>
  <c r="B1" i="3"/>
  <c r="E3" i="2" l="1"/>
  <c r="E4" i="2"/>
  <c r="E5" i="2"/>
  <c r="E6" i="2"/>
  <c r="E7" i="2"/>
  <c r="E8" i="2"/>
  <c r="E9" i="2"/>
  <c r="E10" i="2"/>
  <c r="E11" i="2"/>
  <c r="E12" i="2"/>
  <c r="E13" i="2"/>
  <c r="E2" i="2"/>
  <c r="Q8" i="2"/>
  <c r="Q9" i="2"/>
  <c r="Q10" i="2"/>
  <c r="Q11" i="2"/>
  <c r="Q12" i="2"/>
  <c r="Q13" i="2"/>
  <c r="P8" i="2"/>
  <c r="P9" i="2"/>
  <c r="P10" i="2"/>
  <c r="P11" i="2"/>
  <c r="P12" i="2"/>
  <c r="P13" i="2"/>
  <c r="O8" i="2"/>
  <c r="O9" i="2"/>
  <c r="O10" i="2"/>
  <c r="O11" i="2"/>
  <c r="O12" i="2"/>
  <c r="O13" i="2"/>
  <c r="N7" i="2"/>
  <c r="N8" i="2"/>
  <c r="N9" i="2"/>
  <c r="N10" i="2"/>
  <c r="N11" i="2"/>
  <c r="N12" i="2"/>
  <c r="N13" i="2"/>
  <c r="M8" i="2"/>
  <c r="M9" i="2"/>
  <c r="M10" i="2"/>
  <c r="M11" i="2"/>
  <c r="M12" i="2"/>
  <c r="M13" i="2"/>
  <c r="L8" i="2"/>
  <c r="L9" i="2"/>
  <c r="L10" i="2"/>
  <c r="L11" i="2"/>
  <c r="L12" i="2"/>
  <c r="L13" i="2"/>
  <c r="K8" i="2"/>
  <c r="K9" i="2"/>
  <c r="K10" i="2"/>
  <c r="K11" i="2"/>
  <c r="K12" i="2"/>
  <c r="K13" i="2"/>
  <c r="J3" i="2"/>
  <c r="J4" i="2"/>
  <c r="J5" i="2"/>
  <c r="J6" i="2"/>
  <c r="J7" i="2"/>
  <c r="J8" i="2"/>
  <c r="J9" i="2"/>
  <c r="J10" i="2"/>
  <c r="J11" i="2"/>
  <c r="J12" i="2"/>
  <c r="J13" i="2"/>
  <c r="J2" i="2"/>
  <c r="I3" i="2"/>
  <c r="I4" i="2"/>
  <c r="I5" i="2"/>
  <c r="I6" i="2"/>
  <c r="I7" i="2"/>
  <c r="I8" i="2"/>
  <c r="I9" i="2"/>
  <c r="I10" i="2"/>
  <c r="I11" i="2"/>
  <c r="I12" i="2"/>
  <c r="I13" i="2"/>
  <c r="I2" i="2"/>
  <c r="H3" i="2"/>
  <c r="H4" i="2"/>
  <c r="H5" i="2"/>
  <c r="H6" i="2"/>
  <c r="H7" i="2"/>
  <c r="H8" i="2"/>
  <c r="H9" i="2"/>
  <c r="H10" i="2"/>
  <c r="H11" i="2"/>
  <c r="H12" i="2"/>
  <c r="H13" i="2"/>
  <c r="H2" i="2"/>
  <c r="G3" i="2"/>
  <c r="M3" i="2" s="1"/>
  <c r="G4" i="2"/>
  <c r="M4" i="2" s="1"/>
  <c r="G5" i="2"/>
  <c r="G7" i="2"/>
  <c r="G8" i="2"/>
  <c r="G9" i="2"/>
  <c r="G10" i="2"/>
  <c r="G11" i="2"/>
  <c r="G12" i="2"/>
  <c r="G13" i="2"/>
  <c r="F3" i="2"/>
  <c r="F4" i="2"/>
  <c r="F5" i="2"/>
  <c r="F6" i="2"/>
  <c r="F7" i="2"/>
  <c r="F8" i="2"/>
  <c r="F9" i="2"/>
  <c r="F10" i="2"/>
  <c r="F11" i="2"/>
  <c r="F12" i="2"/>
  <c r="F13" i="2"/>
  <c r="F2" i="2"/>
  <c r="D3" i="2"/>
  <c r="D4" i="2"/>
  <c r="K4" i="2" s="1"/>
  <c r="D5" i="2"/>
  <c r="K5" i="2" s="1"/>
  <c r="D6" i="2"/>
  <c r="D7" i="2"/>
  <c r="D8" i="2"/>
  <c r="D9" i="2"/>
  <c r="D10" i="2"/>
  <c r="D11" i="2"/>
  <c r="D12" i="2"/>
  <c r="D13" i="2"/>
  <c r="D2" i="2"/>
  <c r="C3" i="2"/>
  <c r="C4" i="2"/>
  <c r="C5" i="2"/>
  <c r="C6" i="2"/>
  <c r="C7" i="2"/>
  <c r="C8" i="2"/>
  <c r="C9" i="2"/>
  <c r="C10" i="2"/>
  <c r="C11" i="2"/>
  <c r="C12" i="2"/>
  <c r="C13" i="2"/>
  <c r="C2" i="2"/>
  <c r="B3" i="2"/>
  <c r="B4" i="2"/>
  <c r="B5" i="2"/>
  <c r="B6" i="2"/>
  <c r="B7" i="2"/>
  <c r="K7" i="2" s="1"/>
  <c r="B8" i="2"/>
  <c r="B9" i="2"/>
  <c r="B10" i="2"/>
  <c r="B11" i="2"/>
  <c r="B12" i="2"/>
  <c r="B13" i="2"/>
  <c r="B2" i="2"/>
  <c r="K2" i="2" s="1"/>
  <c r="L2" i="2" s="1"/>
  <c r="A3" i="2"/>
  <c r="A4" i="2"/>
  <c r="A5" i="2"/>
  <c r="A6" i="2"/>
  <c r="A7" i="2"/>
  <c r="A8" i="2"/>
  <c r="A9" i="2"/>
  <c r="A10" i="2"/>
  <c r="A11" i="2"/>
  <c r="A12" i="2"/>
  <c r="A13" i="2"/>
  <c r="A2" i="2"/>
  <c r="M7" i="2"/>
  <c r="M6" i="2"/>
  <c r="M5" i="2"/>
  <c r="M2" i="2"/>
  <c r="H20" i="1"/>
  <c r="G20" i="1"/>
  <c r="F20" i="1"/>
  <c r="B20" i="1"/>
  <c r="H19" i="1"/>
  <c r="G19" i="1"/>
  <c r="F19" i="1"/>
  <c r="C19" i="1"/>
  <c r="H18" i="1"/>
  <c r="G18" i="1"/>
  <c r="F18" i="1"/>
  <c r="C18" i="1"/>
  <c r="C20" i="1" s="1"/>
  <c r="H17" i="1"/>
  <c r="G17" i="1"/>
  <c r="F17" i="1"/>
  <c r="C17" i="1"/>
  <c r="G12" i="1"/>
  <c r="B22" i="1" s="1"/>
  <c r="F12" i="1"/>
  <c r="E12" i="1"/>
  <c r="D12" i="1"/>
  <c r="C12" i="1"/>
  <c r="B12" i="1"/>
  <c r="N2" i="2" l="1"/>
  <c r="K6" i="2"/>
  <c r="L6" i="2" s="1"/>
  <c r="N6" i="2" s="1"/>
  <c r="K3" i="2"/>
  <c r="L3" i="2" s="1"/>
  <c r="N3" i="2" s="1"/>
  <c r="P3" i="2" s="1"/>
  <c r="L5" i="2"/>
  <c r="N5" i="2" s="1"/>
  <c r="Q5" i="2" s="1"/>
  <c r="L7" i="2"/>
  <c r="Q7" i="2" s="1"/>
  <c r="Q2" i="2"/>
  <c r="P2" i="2"/>
  <c r="O2" i="2"/>
  <c r="L4" i="2"/>
  <c r="N4" i="2" s="1"/>
  <c r="Q3" i="2" l="1"/>
  <c r="O3" i="2"/>
  <c r="P7" i="2"/>
  <c r="P5" i="2"/>
  <c r="O5" i="2"/>
  <c r="O7" i="2"/>
  <c r="Q6" i="2"/>
  <c r="P6" i="2"/>
  <c r="O6" i="2"/>
  <c r="Q4" i="2"/>
  <c r="P4" i="2"/>
  <c r="O4" i="2"/>
</calcChain>
</file>

<file path=xl/sharedStrings.xml><?xml version="1.0" encoding="utf-8"?>
<sst xmlns="http://schemas.openxmlformats.org/spreadsheetml/2006/main" count="94" uniqueCount="85">
  <si>
    <t>Frutas</t>
  </si>
  <si>
    <t>Inversión (MIL)</t>
  </si>
  <si>
    <t>Precio en K</t>
  </si>
  <si>
    <t xml:space="preserve">Precio de ganacia en K </t>
  </si>
  <si>
    <t>Cantidad</t>
  </si>
  <si>
    <t>Nombre del comprador</t>
  </si>
  <si>
    <t>Total</t>
  </si>
  <si>
    <t>Ronda</t>
  </si>
  <si>
    <t>Pera</t>
  </si>
  <si>
    <t>Juan Esteban</t>
  </si>
  <si>
    <t>Piña</t>
  </si>
  <si>
    <t>David</t>
  </si>
  <si>
    <t>Papaya</t>
  </si>
  <si>
    <t>Antwone</t>
  </si>
  <si>
    <t>Manzana</t>
  </si>
  <si>
    <t>Sara</t>
  </si>
  <si>
    <t>Banano</t>
  </si>
  <si>
    <t>Uva</t>
  </si>
  <si>
    <t>Lina</t>
  </si>
  <si>
    <t>Lima</t>
  </si>
  <si>
    <t>Mariana</t>
  </si>
  <si>
    <t>Pitahaya</t>
  </si>
  <si>
    <t>Cereza</t>
  </si>
  <si>
    <t>Alisson</t>
  </si>
  <si>
    <t>Arándanos</t>
  </si>
  <si>
    <t>Gasto (compra)</t>
  </si>
  <si>
    <t>Venta por ronda</t>
  </si>
  <si>
    <t>Productos</t>
  </si>
  <si>
    <t>Precio de venta</t>
  </si>
  <si>
    <t>Ganancias</t>
  </si>
  <si>
    <t>Ronda 1</t>
  </si>
  <si>
    <t>Media</t>
  </si>
  <si>
    <t>Ronda 2</t>
  </si>
  <si>
    <t>Moda</t>
  </si>
  <si>
    <t>Ronda 3</t>
  </si>
  <si>
    <t>Varianza muestral</t>
  </si>
  <si>
    <t>Total gasto</t>
  </si>
  <si>
    <t>Varianza pob</t>
  </si>
  <si>
    <t>id_venta</t>
  </si>
  <si>
    <t>vendedor</t>
  </si>
  <si>
    <t>comprador</t>
  </si>
  <si>
    <t>producto</t>
  </si>
  <si>
    <t>categoria</t>
  </si>
  <si>
    <t>precio_lista_limpio</t>
  </si>
  <si>
    <t>precio_venta_limpio</t>
  </si>
  <si>
    <t>cantidad</t>
  </si>
  <si>
    <t>calificacion</t>
  </si>
  <si>
    <t>ronda</t>
  </si>
  <si>
    <t>clave</t>
  </si>
  <si>
    <t>duplicado</t>
  </si>
  <si>
    <t>valor_faltante</t>
  </si>
  <si>
    <t>incluir_analisis</t>
  </si>
  <si>
    <t>precio_venta_final</t>
  </si>
  <si>
    <t>cantidad_final</t>
  </si>
  <si>
    <t>calificacion_final</t>
  </si>
  <si>
    <t>Mínimo</t>
  </si>
  <si>
    <t>Máximo</t>
  </si>
  <si>
    <t>Desviación estándar</t>
  </si>
  <si>
    <t>Q1</t>
  </si>
  <si>
    <t>Mediana</t>
  </si>
  <si>
    <t>Q3</t>
  </si>
  <si>
    <t>Límite inferior outlier (Q1-1.5·RIC)</t>
  </si>
  <si>
    <t>Límite superior outlier (Q3+1.5·RIC)</t>
  </si>
  <si>
    <t>Categoría</t>
  </si>
  <si>
    <t>Ventas (sin duplicados)</t>
  </si>
  <si>
    <t>Precio promedio por categoría</t>
  </si>
  <si>
    <t>Precio promedio</t>
  </si>
  <si>
    <t>Ingresos por vendedor</t>
  </si>
  <si>
    <t>Vendedor</t>
  </si>
  <si>
    <t>Ingreso total</t>
  </si>
  <si>
    <t>Frutas pequeñas</t>
  </si>
  <si>
    <t>Frutas medianas</t>
  </si>
  <si>
    <t>Frutas grandes</t>
  </si>
  <si>
    <t>Grupo frutas</t>
  </si>
  <si>
    <t>Correlación calificación vs precio de venta</t>
  </si>
  <si>
    <t>Coeficiente de correlación</t>
  </si>
  <si>
    <t>Interpretación</t>
  </si>
  <si>
    <t>Recuerda: correlación no implica causalidad.</t>
  </si>
  <si>
    <t>Conclusiones</t>
  </si>
  <si>
    <t>Hallazgo 1</t>
  </si>
  <si>
    <t>Hallazgo 2</t>
  </si>
  <si>
    <t>Hipótesis a validar</t>
  </si>
  <si>
    <t>A mayor precio de venta, menor podría ser la calificación del producto.</t>
  </si>
  <si>
    <t>Las frutas medianas tienen el precio promedio de venta más alto, con 11.</t>
  </si>
  <si>
    <t>La calificación y el precio de venta tienen una correlación negativa moderada de -0,36.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</si>
</sst>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0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i/>
      <sz val="11"/>
      <color rgb="FF4B4A3E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CEEF"/>
        <bgColor rgb="FFF2CEEF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23261F"/>
        <bgColor rgb="FF00330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9BC9C"/>
      </left>
      <right style="thin">
        <color rgb="FFC9BC9C"/>
      </right>
      <top style="thin">
        <color rgb="FFC9BC9C"/>
      </top>
      <bottom style="thin">
        <color rgb="FFC9BC9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0" xfId="0" applyFont="1" applyFill="1" applyAlignment="1">
      <alignment horizontal="right"/>
    </xf>
    <xf numFmtId="0" fontId="3" fillId="3" borderId="0" xfId="0" applyFont="1" applyFill="1"/>
    <xf numFmtId="0" fontId="4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3" borderId="0" xfId="0" applyFont="1" applyFill="1"/>
    <xf numFmtId="0" fontId="3" fillId="2" borderId="1" xfId="0" applyFont="1" applyFill="1" applyBorder="1"/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6" fillId="5" borderId="1" xfId="0" applyFont="1" applyFill="1" applyBorder="1"/>
    <xf numFmtId="0" fontId="3" fillId="0" borderId="1" xfId="0" applyFont="1" applyBorder="1"/>
    <xf numFmtId="0" fontId="3" fillId="6" borderId="1" xfId="0" applyFont="1" applyFill="1" applyBorder="1" applyAlignment="1">
      <alignment horizontal="right"/>
    </xf>
    <xf numFmtId="0" fontId="6" fillId="7" borderId="1" xfId="0" applyFont="1" applyFill="1" applyBorder="1"/>
    <xf numFmtId="0" fontId="3" fillId="6" borderId="1" xfId="0" applyFont="1" applyFill="1" applyBorder="1"/>
    <xf numFmtId="0" fontId="7" fillId="8" borderId="2" xfId="0" applyFont="1" applyFill="1" applyBorder="1" applyAlignment="1">
      <alignment horizontal="center"/>
    </xf>
    <xf numFmtId="0" fontId="5" fillId="0" borderId="2" xfId="0" applyFont="1" applyBorder="1"/>
    <xf numFmtId="0" fontId="5" fillId="0" borderId="0" xfId="0" applyFont="1"/>
    <xf numFmtId="3" fontId="5" fillId="0" borderId="0" xfId="0" applyNumberFormat="1" applyFont="1"/>
    <xf numFmtId="0" fontId="8" fillId="0" borderId="0" xfId="0" applyFont="1"/>
    <xf numFmtId="2" fontId="5" fillId="0" borderId="0" xfId="0" applyNumberFormat="1" applyFont="1"/>
    <xf numFmtId="0" fontId="9" fillId="0" borderId="0" xfId="0" applyFont="1"/>
    <xf numFmtId="0" fontId="8" fillId="9" borderId="0" xfId="0" applyFont="1" applyFill="1"/>
    <xf numFmtId="0" fontId="0" fillId="0" borderId="0" xfId="0" applyFont="1"/>
  </cellXfs>
  <cellStyles count="1">
    <cellStyle name="Normal" xfId="0" builtinId="0"/>
  </cellStyles>
  <dxfs count="1"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DA%20fruteria%20inge%20de%20dato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EDA%20mercado%20tarjetas.xlsx" TargetMode="External"/><Relationship Id="rId2" Type="http://schemas.openxmlformats.org/officeDocument/2006/relationships/externalLinkPath" Target="file:///C:\Users\IRACEMA\Downloads\EDA%20mercado%20tarjetas.xlsx" TargetMode="External"/><Relationship Id="rId1" Type="http://schemas.openxmlformats.org/officeDocument/2006/relationships/externalLinkPath" Target="/Users/IRACEMA/Downloads/EDA%20mercado%20tarje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  <sheetName val="Hoja.1.1"/>
      <sheetName val="Hoja 2"/>
      <sheetName val="Hoja 3"/>
      <sheetName val="Hoja 4"/>
      <sheetName val="Datos"/>
      <sheetName val="Limpieza"/>
    </sheetNames>
    <sheetDataSet>
      <sheetData sheetId="0" refreshError="1">
        <row r="2">
          <cell r="A2">
            <v>1</v>
          </cell>
          <cell r="B2" t="str">
            <v>GRUPO frutas</v>
          </cell>
          <cell r="C2" t="str">
            <v>GRUPO MAQUILLAJE</v>
          </cell>
          <cell r="D2" t="str">
            <v>Pera</v>
          </cell>
          <cell r="E2" t="str">
            <v>Frutas mediana</v>
          </cell>
          <cell r="F2">
            <v>2.5</v>
          </cell>
          <cell r="G2">
            <v>2.5</v>
          </cell>
          <cell r="H2">
            <v>1</v>
          </cell>
          <cell r="I2">
            <v>5</v>
          </cell>
          <cell r="J2">
            <v>2</v>
          </cell>
        </row>
        <row r="3">
          <cell r="A3">
            <v>2</v>
          </cell>
          <cell r="B3" t="str">
            <v>GRUPO frutas</v>
          </cell>
          <cell r="C3" t="str">
            <v>GRUPO SUPER</v>
          </cell>
          <cell r="D3" t="str">
            <v>Piña</v>
          </cell>
          <cell r="E3" t="str">
            <v>Frutas grande</v>
          </cell>
          <cell r="F3">
            <v>6</v>
          </cell>
          <cell r="G3">
            <v>8</v>
          </cell>
          <cell r="H3">
            <v>1</v>
          </cell>
          <cell r="I3">
            <v>2</v>
          </cell>
          <cell r="J3">
            <v>3</v>
          </cell>
        </row>
        <row r="4">
          <cell r="A4">
            <v>3</v>
          </cell>
          <cell r="B4" t="str">
            <v>GRUPO frutas</v>
          </cell>
          <cell r="C4" t="str">
            <v>GRUPO SUPER</v>
          </cell>
          <cell r="D4" t="str">
            <v>Papaya</v>
          </cell>
          <cell r="E4" t="str">
            <v>Frutas grande</v>
          </cell>
          <cell r="F4">
            <v>6</v>
          </cell>
          <cell r="G4">
            <v>6</v>
          </cell>
          <cell r="H4">
            <v>3</v>
          </cell>
          <cell r="I4">
            <v>1</v>
          </cell>
          <cell r="J4">
            <v>1</v>
          </cell>
        </row>
        <row r="5">
          <cell r="A5">
            <v>4</v>
          </cell>
          <cell r="B5" t="str">
            <v>GRUPO frutas</v>
          </cell>
          <cell r="C5"/>
          <cell r="D5" t="str">
            <v>Sandía</v>
          </cell>
          <cell r="E5" t="str">
            <v>Frutas grande</v>
          </cell>
          <cell r="F5">
            <v>8</v>
          </cell>
          <cell r="G5">
            <v>8</v>
          </cell>
          <cell r="H5"/>
          <cell r="I5">
            <v>5</v>
          </cell>
          <cell r="J5"/>
        </row>
        <row r="6">
          <cell r="A6">
            <v>5</v>
          </cell>
          <cell r="B6" t="str">
            <v>GRUPO frutas</v>
          </cell>
          <cell r="C6" t="str">
            <v>GRUPO MAQUILLAJE</v>
          </cell>
          <cell r="D6" t="str">
            <v>Manzana</v>
          </cell>
          <cell r="E6" t="str">
            <v>Frutas mediana</v>
          </cell>
          <cell r="F6">
            <v>3.5</v>
          </cell>
          <cell r="G6">
            <v>3.5</v>
          </cell>
          <cell r="H6">
            <v>1</v>
          </cell>
          <cell r="I6">
            <v>4</v>
          </cell>
          <cell r="J6">
            <v>1</v>
          </cell>
        </row>
        <row r="7">
          <cell r="A7">
            <v>6</v>
          </cell>
          <cell r="B7" t="str">
            <v>GRUPO frutas</v>
          </cell>
          <cell r="C7" t="str">
            <v>GRUPO SUPER</v>
          </cell>
          <cell r="D7" t="str">
            <v>Banano</v>
          </cell>
          <cell r="E7" t="str">
            <v>Frutas mediana</v>
          </cell>
          <cell r="F7">
            <v>4</v>
          </cell>
          <cell r="G7">
            <v>4</v>
          </cell>
          <cell r="H7">
            <v>1</v>
          </cell>
          <cell r="I7">
            <v>3</v>
          </cell>
          <cell r="J7">
            <v>1</v>
          </cell>
        </row>
        <row r="8">
          <cell r="A8">
            <v>7</v>
          </cell>
          <cell r="B8" t="str">
            <v>GRUPO frutas</v>
          </cell>
          <cell r="C8" t="str">
            <v>GRUPO POSTRES</v>
          </cell>
          <cell r="D8" t="str">
            <v>Uva</v>
          </cell>
          <cell r="E8" t="str">
            <v>Frutas pequeña</v>
          </cell>
          <cell r="F8">
            <v>9</v>
          </cell>
          <cell r="G8">
            <v>10</v>
          </cell>
          <cell r="H8">
            <v>1</v>
          </cell>
          <cell r="I8">
            <v>4</v>
          </cell>
          <cell r="J8">
            <v>3</v>
          </cell>
        </row>
        <row r="9">
          <cell r="A9">
            <v>8</v>
          </cell>
          <cell r="B9" t="str">
            <v>GRUPO frutas</v>
          </cell>
          <cell r="C9"/>
          <cell r="D9" t="str">
            <v>Naranja</v>
          </cell>
          <cell r="E9" t="str">
            <v>Frutas mediana</v>
          </cell>
          <cell r="F9">
            <v>3</v>
          </cell>
          <cell r="G9">
            <v>3</v>
          </cell>
          <cell r="H9"/>
          <cell r="I9">
            <v>3</v>
          </cell>
          <cell r="J9"/>
        </row>
        <row r="10">
          <cell r="A10">
            <v>9</v>
          </cell>
          <cell r="B10" t="str">
            <v>GRUPO frutas</v>
          </cell>
          <cell r="C10" t="str">
            <v>GRUPO POSTRES</v>
          </cell>
          <cell r="D10" t="str">
            <v>Lima</v>
          </cell>
          <cell r="E10" t="str">
            <v>Frutas pequeña</v>
          </cell>
          <cell r="F10">
            <v>2</v>
          </cell>
          <cell r="G10">
            <v>2</v>
          </cell>
          <cell r="H10">
            <v>2</v>
          </cell>
          <cell r="I10">
            <v>4</v>
          </cell>
          <cell r="J10">
            <v>2</v>
          </cell>
        </row>
        <row r="11">
          <cell r="A11">
            <v>10</v>
          </cell>
          <cell r="B11" t="str">
            <v>GRUPO frutas</v>
          </cell>
          <cell r="C11" t="str">
            <v>GRUPO SUPER</v>
          </cell>
          <cell r="D11" t="str">
            <v>Pitahaya</v>
          </cell>
          <cell r="E11" t="str">
            <v>Frutas mediana</v>
          </cell>
          <cell r="F11">
            <v>8</v>
          </cell>
          <cell r="G11">
            <v>8</v>
          </cell>
          <cell r="H11">
            <v>1</v>
          </cell>
          <cell r="I11">
            <v>3</v>
          </cell>
          <cell r="J11">
            <v>1</v>
          </cell>
        </row>
        <row r="12">
          <cell r="A12">
            <v>11</v>
          </cell>
          <cell r="B12" t="str">
            <v>GRUPO frutas</v>
          </cell>
          <cell r="C12" t="str">
            <v>GRUPO MAQUILLAJE</v>
          </cell>
          <cell r="D12" t="str">
            <v>Cereza</v>
          </cell>
          <cell r="E12" t="str">
            <v>Frutas pequeña</v>
          </cell>
          <cell r="F12">
            <v>6</v>
          </cell>
          <cell r="G12">
            <v>6</v>
          </cell>
          <cell r="H12">
            <v>1</v>
          </cell>
          <cell r="I12">
            <v>3</v>
          </cell>
          <cell r="J12">
            <v>3</v>
          </cell>
        </row>
        <row r="13">
          <cell r="A13">
            <v>12</v>
          </cell>
          <cell r="B13" t="str">
            <v>GRUPO frutas</v>
          </cell>
          <cell r="C13" t="str">
            <v>GRUPO SUPER</v>
          </cell>
          <cell r="D13" t="str">
            <v>Arándanos</v>
          </cell>
          <cell r="E13" t="str">
            <v>Frutas pequeña</v>
          </cell>
          <cell r="F13">
            <v>8</v>
          </cell>
          <cell r="G13">
            <v>10</v>
          </cell>
          <cell r="H13">
            <v>1</v>
          </cell>
          <cell r="I13">
            <v>1</v>
          </cell>
          <cell r="J13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icio"/>
      <sheetName val="Datos"/>
      <sheetName val="Limpieza"/>
      <sheetName val="Univariado"/>
      <sheetName val="Bivariado"/>
      <sheetName val="Correlacion"/>
      <sheetName val="Conclusiones"/>
    </sheetNames>
    <sheetDataSet>
      <sheetData sheetId="0"/>
      <sheetData sheetId="1"/>
      <sheetData sheetId="2">
        <row r="2">
          <cell r="O2">
            <v>22000</v>
          </cell>
          <cell r="Q2">
            <v>4</v>
          </cell>
        </row>
        <row r="3">
          <cell r="O3">
            <v>65000</v>
          </cell>
          <cell r="Q3">
            <v>5</v>
          </cell>
        </row>
        <row r="4">
          <cell r="O4">
            <v>8000</v>
          </cell>
          <cell r="Q4">
            <v>3</v>
          </cell>
        </row>
        <row r="5">
          <cell r="O5">
            <v>20000</v>
          </cell>
          <cell r="Q5">
            <v>4</v>
          </cell>
        </row>
        <row r="6">
          <cell r="O6" t="str">
            <v/>
          </cell>
          <cell r="Q6" t="str">
            <v/>
          </cell>
        </row>
        <row r="7">
          <cell r="O7" t="str">
            <v/>
          </cell>
          <cell r="Q7" t="str">
            <v/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3C2C-9398-4B06-91E0-838D338EA890}">
  <dimension ref="A1:H23"/>
  <sheetViews>
    <sheetView workbookViewId="0">
      <selection activeCell="I15" sqref="I15"/>
    </sheetView>
  </sheetViews>
  <sheetFormatPr baseColWidth="10" defaultRowHeight="15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4">
        <v>2</v>
      </c>
      <c r="C2" s="4">
        <v>2.5</v>
      </c>
      <c r="D2" s="5"/>
      <c r="E2" s="4">
        <v>1</v>
      </c>
      <c r="F2" s="5" t="s">
        <v>9</v>
      </c>
      <c r="G2" s="4">
        <v>2.5</v>
      </c>
      <c r="H2" s="6">
        <v>2</v>
      </c>
    </row>
    <row r="3" spans="1:8">
      <c r="A3" s="3" t="s">
        <v>10</v>
      </c>
      <c r="B3" s="4">
        <v>4</v>
      </c>
      <c r="C3" s="4">
        <v>6</v>
      </c>
      <c r="D3" s="4">
        <v>8</v>
      </c>
      <c r="E3" s="4">
        <v>1</v>
      </c>
      <c r="F3" s="5" t="s">
        <v>11</v>
      </c>
      <c r="G3" s="4">
        <v>8</v>
      </c>
      <c r="H3" s="6">
        <v>3</v>
      </c>
    </row>
    <row r="4" spans="1:8">
      <c r="A4" s="3" t="s">
        <v>12</v>
      </c>
      <c r="B4" s="4">
        <v>4</v>
      </c>
      <c r="C4" s="4">
        <v>6</v>
      </c>
      <c r="D4" s="5"/>
      <c r="E4" s="4">
        <v>3</v>
      </c>
      <c r="F4" s="5" t="s">
        <v>13</v>
      </c>
      <c r="G4" s="4">
        <v>18</v>
      </c>
      <c r="H4" s="6">
        <v>1</v>
      </c>
    </row>
    <row r="5" spans="1:8">
      <c r="A5" s="3" t="s">
        <v>14</v>
      </c>
      <c r="B5" s="4">
        <v>2</v>
      </c>
      <c r="C5" s="4">
        <v>3.5</v>
      </c>
      <c r="D5" s="5"/>
      <c r="E5" s="4">
        <v>1</v>
      </c>
      <c r="F5" s="5" t="s">
        <v>15</v>
      </c>
      <c r="G5" s="4">
        <v>3.5</v>
      </c>
      <c r="H5" s="7">
        <v>1</v>
      </c>
    </row>
    <row r="6" spans="1:8">
      <c r="A6" s="3" t="s">
        <v>16</v>
      </c>
      <c r="B6" s="4">
        <v>1</v>
      </c>
      <c r="C6" s="4">
        <v>4</v>
      </c>
      <c r="D6" s="5"/>
      <c r="E6" s="4">
        <v>1</v>
      </c>
      <c r="F6" s="5" t="s">
        <v>13</v>
      </c>
      <c r="G6" s="4">
        <v>4</v>
      </c>
      <c r="H6" s="6">
        <v>1</v>
      </c>
    </row>
    <row r="7" spans="1:8">
      <c r="A7" s="3" t="s">
        <v>17</v>
      </c>
      <c r="B7" s="4">
        <v>6</v>
      </c>
      <c r="C7" s="4">
        <v>9</v>
      </c>
      <c r="D7" s="7">
        <v>10</v>
      </c>
      <c r="E7" s="4">
        <v>1</v>
      </c>
      <c r="F7" s="5" t="s">
        <v>18</v>
      </c>
      <c r="G7" s="4">
        <v>10</v>
      </c>
      <c r="H7" s="6">
        <v>3</v>
      </c>
    </row>
    <row r="8" spans="1:8">
      <c r="A8" s="3" t="s">
        <v>19</v>
      </c>
      <c r="B8" s="7">
        <v>1</v>
      </c>
      <c r="C8" s="4">
        <v>2</v>
      </c>
      <c r="D8" s="5"/>
      <c r="E8" s="4">
        <v>2</v>
      </c>
      <c r="F8" s="5" t="s">
        <v>20</v>
      </c>
      <c r="G8" s="4">
        <v>4</v>
      </c>
      <c r="H8" s="6">
        <v>2</v>
      </c>
    </row>
    <row r="9" spans="1:8">
      <c r="A9" s="3" t="s">
        <v>21</v>
      </c>
      <c r="B9" s="4">
        <v>5</v>
      </c>
      <c r="C9" s="4">
        <v>8</v>
      </c>
      <c r="D9" s="5"/>
      <c r="E9" s="4">
        <v>1</v>
      </c>
      <c r="F9" s="8" t="s">
        <v>13</v>
      </c>
      <c r="G9" s="4">
        <v>8</v>
      </c>
      <c r="H9" s="6">
        <v>1</v>
      </c>
    </row>
    <row r="10" spans="1:8">
      <c r="A10" s="3" t="s">
        <v>22</v>
      </c>
      <c r="B10" s="4">
        <v>4</v>
      </c>
      <c r="C10" s="4">
        <v>6</v>
      </c>
      <c r="D10" s="5"/>
      <c r="E10" s="4">
        <v>1</v>
      </c>
      <c r="F10" s="8" t="s">
        <v>23</v>
      </c>
      <c r="G10" s="4">
        <v>6</v>
      </c>
      <c r="H10" s="6">
        <v>3</v>
      </c>
    </row>
    <row r="11" spans="1:8">
      <c r="A11" s="3" t="s">
        <v>24</v>
      </c>
      <c r="B11" s="4">
        <v>5</v>
      </c>
      <c r="C11" s="4">
        <v>8</v>
      </c>
      <c r="D11" s="4">
        <v>10</v>
      </c>
      <c r="E11" s="4">
        <v>1</v>
      </c>
      <c r="F11" s="8" t="s">
        <v>11</v>
      </c>
      <c r="G11" s="4">
        <v>10</v>
      </c>
      <c r="H11" s="6">
        <v>3</v>
      </c>
    </row>
    <row r="12" spans="1:8">
      <c r="A12" s="9" t="s">
        <v>6</v>
      </c>
      <c r="B12" s="10">
        <f t="shared" ref="B12:G12" si="0">SUM(B2:B11)</f>
        <v>34</v>
      </c>
      <c r="C12" s="10">
        <f t="shared" si="0"/>
        <v>55</v>
      </c>
      <c r="D12" s="10">
        <f t="shared" si="0"/>
        <v>28</v>
      </c>
      <c r="E12" s="10">
        <f t="shared" si="0"/>
        <v>13</v>
      </c>
      <c r="F12" s="10">
        <f t="shared" si="0"/>
        <v>0</v>
      </c>
      <c r="G12" s="10">
        <f t="shared" si="0"/>
        <v>74</v>
      </c>
      <c r="H12" s="11"/>
    </row>
    <row r="15" spans="1:8">
      <c r="A15" s="12"/>
      <c r="B15" s="12"/>
      <c r="C15" s="12"/>
      <c r="D15" s="12"/>
      <c r="E15" s="12"/>
      <c r="F15" s="12"/>
      <c r="G15" s="12"/>
      <c r="H15" s="12"/>
    </row>
    <row r="16" spans="1:8">
      <c r="A16" s="12"/>
      <c r="B16" s="13" t="s">
        <v>25</v>
      </c>
      <c r="C16" s="14" t="s">
        <v>26</v>
      </c>
      <c r="F16" s="15" t="s">
        <v>27</v>
      </c>
      <c r="G16" s="15" t="s">
        <v>28</v>
      </c>
      <c r="H16" s="15" t="s">
        <v>29</v>
      </c>
    </row>
    <row r="17" spans="1:8">
      <c r="A17" s="16" t="s">
        <v>30</v>
      </c>
      <c r="B17" s="17">
        <v>9.5</v>
      </c>
      <c r="C17" s="17">
        <f>G9+G6+G5+G4</f>
        <v>33.5</v>
      </c>
      <c r="E17" s="15" t="s">
        <v>31</v>
      </c>
      <c r="F17" s="18">
        <f t="shared" ref="F17:G17" si="1">AVERAGE(B2:B11)</f>
        <v>3.4</v>
      </c>
      <c r="G17" s="18">
        <f t="shared" si="1"/>
        <v>5.5</v>
      </c>
      <c r="H17" s="18">
        <f>AVERAGE(G2:G11)</f>
        <v>7.4</v>
      </c>
    </row>
    <row r="18" spans="1:8">
      <c r="A18" s="16" t="s">
        <v>32</v>
      </c>
      <c r="B18" s="17">
        <v>7.5</v>
      </c>
      <c r="C18" s="19">
        <f>G2+G8</f>
        <v>6.5</v>
      </c>
      <c r="D18" s="12"/>
      <c r="E18" s="15" t="s">
        <v>33</v>
      </c>
      <c r="F18" s="18">
        <f t="shared" ref="F18:G18" si="2">MODE(B2:B11)</f>
        <v>4</v>
      </c>
      <c r="G18" s="18">
        <f t="shared" si="2"/>
        <v>6</v>
      </c>
      <c r="H18" s="18">
        <f>MODE(G2:G11)</f>
        <v>8</v>
      </c>
    </row>
    <row r="19" spans="1:8">
      <c r="A19" s="16" t="s">
        <v>34</v>
      </c>
      <c r="B19" s="17">
        <v>4</v>
      </c>
      <c r="C19" s="19">
        <f>G11+G10+G7+G3</f>
        <v>34</v>
      </c>
      <c r="D19" s="12"/>
      <c r="E19" s="15" t="s">
        <v>35</v>
      </c>
      <c r="F19" s="18">
        <f t="shared" ref="F19:G19" si="3">VAR(B2:B11)</f>
        <v>3.1555555555555563</v>
      </c>
      <c r="G19" s="18">
        <f t="shared" si="3"/>
        <v>5.8888888888888893</v>
      </c>
      <c r="H19" s="18">
        <f>VAR(G2:G11)</f>
        <v>21.211111111111109</v>
      </c>
    </row>
    <row r="20" spans="1:8">
      <c r="A20" s="16" t="s">
        <v>36</v>
      </c>
      <c r="B20" s="17">
        <f t="shared" ref="B20:C20" si="4">SUM(B17:B19)</f>
        <v>21</v>
      </c>
      <c r="C20" s="17">
        <f t="shared" si="4"/>
        <v>74</v>
      </c>
      <c r="D20" s="11"/>
      <c r="E20" s="15" t="s">
        <v>37</v>
      </c>
      <c r="F20" s="18">
        <f t="shared" ref="F20:G20" si="5">VARP(B2:B11)</f>
        <v>2.84</v>
      </c>
      <c r="G20" s="18">
        <f t="shared" si="5"/>
        <v>5.3</v>
      </c>
      <c r="H20" s="18">
        <f>VARP(G2:G11)</f>
        <v>19.09</v>
      </c>
    </row>
    <row r="21" spans="1:8">
      <c r="A21" s="12"/>
      <c r="B21" s="12"/>
      <c r="C21" s="12"/>
      <c r="D21" s="12"/>
      <c r="E21" s="12"/>
      <c r="F21" s="12"/>
      <c r="G21" s="12"/>
      <c r="H21" s="12"/>
    </row>
    <row r="22" spans="1:8">
      <c r="A22" s="9" t="s">
        <v>29</v>
      </c>
      <c r="B22" s="10">
        <f>G12-B12-B20</f>
        <v>19</v>
      </c>
      <c r="C22" s="12"/>
      <c r="D22" s="12"/>
      <c r="E22" s="12"/>
      <c r="F22" s="12"/>
      <c r="G22" s="12"/>
      <c r="H22" s="12"/>
    </row>
    <row r="23" spans="1:8">
      <c r="A23" s="12"/>
      <c r="B23" s="12"/>
      <c r="C23" s="12"/>
      <c r="D23" s="12"/>
      <c r="E23" s="12"/>
      <c r="F23" s="12"/>
      <c r="G23" s="12"/>
      <c r="H23" s="12"/>
    </row>
  </sheetData>
  <conditionalFormatting sqref="A1:H11">
    <cfRule type="containsBlanks" dxfId="0" priority="1">
      <formula>LEN(TRIM(A1))=0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752F-E9AC-47C0-9E8D-9FF9188E26B5}">
  <dimension ref="A1:Q15"/>
  <sheetViews>
    <sheetView topLeftCell="C1" workbookViewId="0">
      <selection activeCell="B2" sqref="B2"/>
    </sheetView>
  </sheetViews>
  <sheetFormatPr baseColWidth="10" defaultRowHeight="15"/>
  <cols>
    <col min="2" max="2" width="14.5703125" bestFit="1" customWidth="1"/>
    <col min="3" max="3" width="22" bestFit="1" customWidth="1"/>
    <col min="5" max="5" width="15.5703125" bestFit="1" customWidth="1"/>
    <col min="6" max="6" width="20" bestFit="1" customWidth="1"/>
    <col min="7" max="7" width="21.7109375" bestFit="1" customWidth="1"/>
    <col min="9" max="9" width="12.28515625" bestFit="1" customWidth="1"/>
    <col min="11" max="11" width="27" bestFit="1" customWidth="1"/>
    <col min="12" max="12" width="14.42578125" bestFit="1" customWidth="1"/>
    <col min="13" max="13" width="14.85546875" bestFit="1" customWidth="1"/>
    <col min="14" max="14" width="16.140625" bestFit="1" customWidth="1"/>
    <col min="15" max="15" width="19.85546875" bestFit="1" customWidth="1"/>
    <col min="16" max="16" width="15" bestFit="1" customWidth="1"/>
    <col min="17" max="17" width="17.85546875" bestFit="1" customWidth="1"/>
  </cols>
  <sheetData>
    <row r="1" spans="1:17">
      <c r="A1" s="20" t="s">
        <v>38</v>
      </c>
      <c r="B1" s="20" t="s">
        <v>39</v>
      </c>
      <c r="C1" s="20" t="s">
        <v>40</v>
      </c>
      <c r="D1" s="20" t="s">
        <v>41</v>
      </c>
      <c r="E1" s="20" t="s">
        <v>42</v>
      </c>
      <c r="F1" s="20" t="s">
        <v>43</v>
      </c>
      <c r="G1" s="20" t="s">
        <v>44</v>
      </c>
      <c r="H1" s="20" t="s">
        <v>45</v>
      </c>
      <c r="I1" s="20" t="s">
        <v>46</v>
      </c>
      <c r="J1" s="20" t="s">
        <v>47</v>
      </c>
      <c r="K1" s="20" t="s">
        <v>48</v>
      </c>
      <c r="L1" s="20" t="s">
        <v>49</v>
      </c>
      <c r="M1" s="20" t="s">
        <v>50</v>
      </c>
      <c r="N1" s="20" t="s">
        <v>51</v>
      </c>
      <c r="O1" s="20" t="s">
        <v>52</v>
      </c>
      <c r="P1" s="20" t="s">
        <v>53</v>
      </c>
      <c r="Q1" s="20" t="s">
        <v>54</v>
      </c>
    </row>
    <row r="2" spans="1:17">
      <c r="A2" s="21">
        <f>'[1]Hoja 1'!A2</f>
        <v>1</v>
      </c>
      <c r="B2" s="21" t="str">
        <f>'[1]Hoja 1'!B2</f>
        <v>GRUPO frutas</v>
      </c>
      <c r="C2" s="21" t="str">
        <f>'[1]Hoja 1'!C2</f>
        <v>GRUPO MAQUILLAJE</v>
      </c>
      <c r="D2" s="21" t="str">
        <f>'[1]Hoja 1'!D2</f>
        <v>Pera</v>
      </c>
      <c r="E2" s="21" t="str">
        <f>'[1]Hoja 1'!E2</f>
        <v>Frutas mediana</v>
      </c>
      <c r="F2" s="21">
        <f>IFERROR(VALUE(SUBSTITUTE('[1]Hoja 1'!F2,".","")),"")</f>
        <v>2.5</v>
      </c>
      <c r="G2" s="21">
        <f>IFERROR(VALUE(SUBSTITUTE('[1]Hoja 1'!G2,".","")),"")</f>
        <v>2.5</v>
      </c>
      <c r="H2" s="21">
        <f>'[1]Hoja 1'!H2</f>
        <v>1</v>
      </c>
      <c r="I2" s="21">
        <f>'[1]Hoja 1'!I2</f>
        <v>5</v>
      </c>
      <c r="J2" s="21">
        <f>'[1]Hoja 1'!J2</f>
        <v>2</v>
      </c>
      <c r="K2" s="21" t="str">
        <f>B2&amp;"|"&amp;D2&amp;"|"&amp;J2</f>
        <v>GRUPO frutas|Pera|2</v>
      </c>
      <c r="L2" s="21" t="b">
        <f>COUNTIFS($K$2:K2,K2)&gt;1</f>
        <v>0</v>
      </c>
      <c r="M2" s="21" t="b">
        <f t="shared" ref="M2:M13" si="0">(G2="")</f>
        <v>0</v>
      </c>
      <c r="N2" s="21" t="b">
        <f>NOT(OR(L2,M2))</f>
        <v>1</v>
      </c>
      <c r="O2" s="21">
        <f t="shared" ref="O2:O13" si="1">IF(N2,G2,"")</f>
        <v>2.5</v>
      </c>
      <c r="P2" s="21">
        <f t="shared" ref="P2:P13" si="2">IF(N2,H2,"")</f>
        <v>1</v>
      </c>
      <c r="Q2" s="21">
        <f t="shared" ref="Q2:Q13" si="3">IF(N2,I2,"")</f>
        <v>5</v>
      </c>
    </row>
    <row r="3" spans="1:17">
      <c r="A3" s="21">
        <f>'[1]Hoja 1'!A3</f>
        <v>2</v>
      </c>
      <c r="B3" s="21" t="str">
        <f>'[1]Hoja 1'!B3</f>
        <v>GRUPO frutas</v>
      </c>
      <c r="C3" s="21" t="str">
        <f>'[1]Hoja 1'!C3</f>
        <v>GRUPO SUPER</v>
      </c>
      <c r="D3" s="21" t="str">
        <f>'[1]Hoja 1'!D3</f>
        <v>Piña</v>
      </c>
      <c r="E3" s="21" t="str">
        <f>'[1]Hoja 1'!E3</f>
        <v>Frutas grande</v>
      </c>
      <c r="F3" s="21">
        <f>IFERROR(VALUE(SUBSTITUTE('[1]Hoja 1'!F3,".","")),"")</f>
        <v>6</v>
      </c>
      <c r="G3" s="21">
        <f>IFERROR(VALUE(SUBSTITUTE(SUBSTITUTE('[1]Hoja 1'!G3,".",""),",",".")),"")</f>
        <v>8</v>
      </c>
      <c r="H3" s="21">
        <f>'[1]Hoja 1'!H3</f>
        <v>1</v>
      </c>
      <c r="I3" s="21">
        <f>'[1]Hoja 1'!I3</f>
        <v>2</v>
      </c>
      <c r="J3" s="21">
        <f>'[1]Hoja 1'!J3</f>
        <v>3</v>
      </c>
      <c r="K3" s="21" t="str">
        <f t="shared" ref="K3:K13" si="4">B3&amp;"|"&amp;D3&amp;"|"&amp;J3</f>
        <v>GRUPO frutas|Piña|3</v>
      </c>
      <c r="L3" s="21" t="b">
        <f>COUNTIFS($K$2:K3,K3)&gt;1</f>
        <v>0</v>
      </c>
      <c r="M3" s="21" t="b">
        <f t="shared" si="0"/>
        <v>0</v>
      </c>
      <c r="N3" s="21" t="b">
        <f t="shared" ref="N3:N13" si="5">NOT(OR(L3,M3))</f>
        <v>1</v>
      </c>
      <c r="O3" s="21">
        <f t="shared" si="1"/>
        <v>8</v>
      </c>
      <c r="P3" s="21">
        <f t="shared" si="2"/>
        <v>1</v>
      </c>
      <c r="Q3" s="21">
        <f t="shared" si="3"/>
        <v>2</v>
      </c>
    </row>
    <row r="4" spans="1:17">
      <c r="A4" s="21">
        <f>'[1]Hoja 1'!A4</f>
        <v>3</v>
      </c>
      <c r="B4" s="21" t="str">
        <f>'[1]Hoja 1'!B4</f>
        <v>GRUPO frutas</v>
      </c>
      <c r="C4" s="21" t="str">
        <f>'[1]Hoja 1'!C4</f>
        <v>GRUPO SUPER</v>
      </c>
      <c r="D4" s="21" t="str">
        <f>'[1]Hoja 1'!D4</f>
        <v>Papaya</v>
      </c>
      <c r="E4" s="21" t="str">
        <f>'[1]Hoja 1'!E4</f>
        <v>Frutas grande</v>
      </c>
      <c r="F4" s="21">
        <f>IFERROR(VALUE(SUBSTITUTE('[1]Hoja 1'!F4,".","")),"")</f>
        <v>6</v>
      </c>
      <c r="G4" s="21">
        <f>IFERROR(VALUE(SUBSTITUTE(SUBSTITUTE('[1]Hoja 1'!G4,".",""),",",".")),"")</f>
        <v>6</v>
      </c>
      <c r="H4" s="21">
        <f>'[1]Hoja 1'!H4</f>
        <v>3</v>
      </c>
      <c r="I4" s="21">
        <f>'[1]Hoja 1'!I4</f>
        <v>1</v>
      </c>
      <c r="J4" s="21">
        <f>'[1]Hoja 1'!J4</f>
        <v>1</v>
      </c>
      <c r="K4" s="21" t="str">
        <f t="shared" si="4"/>
        <v>GRUPO frutas|Papaya|1</v>
      </c>
      <c r="L4" s="21" t="b">
        <f>COUNTIFS($K$2:K4,K4)&gt;1</f>
        <v>0</v>
      </c>
      <c r="M4" s="21" t="b">
        <f t="shared" si="0"/>
        <v>0</v>
      </c>
      <c r="N4" s="21" t="b">
        <f t="shared" si="5"/>
        <v>1</v>
      </c>
      <c r="O4" s="21">
        <f t="shared" si="1"/>
        <v>6</v>
      </c>
      <c r="P4" s="21">
        <f t="shared" si="2"/>
        <v>3</v>
      </c>
      <c r="Q4" s="21">
        <f t="shared" si="3"/>
        <v>1</v>
      </c>
    </row>
    <row r="5" spans="1:17">
      <c r="A5" s="21">
        <f>'[1]Hoja 1'!A5</f>
        <v>4</v>
      </c>
      <c r="B5" s="21" t="str">
        <f>'[1]Hoja 1'!B5</f>
        <v>GRUPO frutas</v>
      </c>
      <c r="C5" s="21">
        <f>'[1]Hoja 1'!C5</f>
        <v>0</v>
      </c>
      <c r="D5" s="21" t="str">
        <f>'[1]Hoja 1'!D5</f>
        <v>Sandía</v>
      </c>
      <c r="E5" s="21" t="str">
        <f>'[1]Hoja 1'!E5</f>
        <v>Frutas grande</v>
      </c>
      <c r="F5" s="21">
        <f>IFERROR(VALUE(SUBSTITUTE('[1]Hoja 1'!F5,".","")),"")</f>
        <v>8</v>
      </c>
      <c r="G5" s="21">
        <f>IFERROR(VALUE(SUBSTITUTE(SUBSTITUTE('[1]Hoja 1'!G5,".",""),",",".")),"")</f>
        <v>8</v>
      </c>
      <c r="H5" s="21">
        <f>'[1]Hoja 1'!H5</f>
        <v>0</v>
      </c>
      <c r="I5" s="21">
        <f>'[1]Hoja 1'!I5</f>
        <v>5</v>
      </c>
      <c r="J5" s="21">
        <f>'[1]Hoja 1'!J5</f>
        <v>0</v>
      </c>
      <c r="K5" s="21" t="str">
        <f t="shared" si="4"/>
        <v>GRUPO frutas|Sandía|0</v>
      </c>
      <c r="L5" s="21" t="b">
        <f>COUNTIFS($K$2:K5,K5)&gt;1</f>
        <v>0</v>
      </c>
      <c r="M5" s="21" t="b">
        <f t="shared" si="0"/>
        <v>0</v>
      </c>
      <c r="N5" s="21" t="b">
        <f t="shared" si="5"/>
        <v>1</v>
      </c>
      <c r="O5" s="21">
        <f t="shared" si="1"/>
        <v>8</v>
      </c>
      <c r="P5" s="21">
        <f t="shared" si="2"/>
        <v>0</v>
      </c>
      <c r="Q5" s="21">
        <f t="shared" si="3"/>
        <v>5</v>
      </c>
    </row>
    <row r="6" spans="1:17">
      <c r="A6" s="21">
        <f>'[1]Hoja 1'!A6</f>
        <v>5</v>
      </c>
      <c r="B6" s="21" t="str">
        <f>'[1]Hoja 1'!B6</f>
        <v>GRUPO frutas</v>
      </c>
      <c r="C6" s="21" t="str">
        <f>'[1]Hoja 1'!C6</f>
        <v>GRUPO MAQUILLAJE</v>
      </c>
      <c r="D6" s="21" t="str">
        <f>'[1]Hoja 1'!D6</f>
        <v>Manzana</v>
      </c>
      <c r="E6" s="21" t="str">
        <f>'[1]Hoja 1'!E6</f>
        <v>Frutas mediana</v>
      </c>
      <c r="F6" s="21">
        <f>IFERROR(VALUE(SUBSTITUTE('[1]Hoja 1'!F6,".","")),"")</f>
        <v>3.5</v>
      </c>
      <c r="G6" s="21">
        <f>IFERROR(VALUE(SUBSTITUTE('[1]Hoja 1'!G6,".","")),"")</f>
        <v>3.5</v>
      </c>
      <c r="H6" s="21">
        <f>'[1]Hoja 1'!H6</f>
        <v>1</v>
      </c>
      <c r="I6" s="21">
        <f>'[1]Hoja 1'!I6</f>
        <v>4</v>
      </c>
      <c r="J6" s="21">
        <f>'[1]Hoja 1'!J6</f>
        <v>1</v>
      </c>
      <c r="K6" s="21" t="str">
        <f t="shared" si="4"/>
        <v>GRUPO frutas|Manzana|1</v>
      </c>
      <c r="L6" s="21" t="b">
        <f>COUNTIFS($K$2:K6,K6)&gt;1</f>
        <v>0</v>
      </c>
      <c r="M6" s="21" t="b">
        <f>(G6="")</f>
        <v>0</v>
      </c>
      <c r="N6" s="21" t="b">
        <f t="shared" si="5"/>
        <v>1</v>
      </c>
      <c r="O6" s="21">
        <f t="shared" si="1"/>
        <v>3.5</v>
      </c>
      <c r="P6" s="21">
        <f t="shared" si="2"/>
        <v>1</v>
      </c>
      <c r="Q6" s="21">
        <f t="shared" si="3"/>
        <v>4</v>
      </c>
    </row>
    <row r="7" spans="1:17">
      <c r="A7" s="21">
        <f>'[1]Hoja 1'!A7</f>
        <v>6</v>
      </c>
      <c r="B7" s="21" t="str">
        <f>'[1]Hoja 1'!B7</f>
        <v>GRUPO frutas</v>
      </c>
      <c r="C7" s="21" t="str">
        <f>'[1]Hoja 1'!C7</f>
        <v>GRUPO SUPER</v>
      </c>
      <c r="D7" s="21" t="str">
        <f>'[1]Hoja 1'!D7</f>
        <v>Banano</v>
      </c>
      <c r="E7" s="21" t="str">
        <f>'[1]Hoja 1'!E7</f>
        <v>Frutas mediana</v>
      </c>
      <c r="F7" s="21">
        <f>IFERROR(VALUE(SUBSTITUTE('[1]Hoja 1'!F7,".","")),"")</f>
        <v>4</v>
      </c>
      <c r="G7" s="21">
        <f>IFERROR(VALUE(SUBSTITUTE(SUBSTITUTE('[1]Hoja 1'!G7,".",""),",",".")),"")</f>
        <v>4</v>
      </c>
      <c r="H7" s="21">
        <f>'[1]Hoja 1'!H7</f>
        <v>1</v>
      </c>
      <c r="I7" s="21">
        <f>'[1]Hoja 1'!I7</f>
        <v>3</v>
      </c>
      <c r="J7" s="21">
        <f>'[1]Hoja 1'!J7</f>
        <v>1</v>
      </c>
      <c r="K7" s="21" t="str">
        <f t="shared" si="4"/>
        <v>GRUPO frutas|Banano|1</v>
      </c>
      <c r="L7" s="21" t="b">
        <f>COUNTIFS($K$2:K7,K7)&gt;1</f>
        <v>0</v>
      </c>
      <c r="M7" s="21" t="b">
        <f t="shared" si="0"/>
        <v>0</v>
      </c>
      <c r="N7" s="21" t="b">
        <f t="shared" si="5"/>
        <v>1</v>
      </c>
      <c r="O7" s="21">
        <f t="shared" si="1"/>
        <v>4</v>
      </c>
      <c r="P7" s="21">
        <f t="shared" si="2"/>
        <v>1</v>
      </c>
      <c r="Q7" s="21">
        <f t="shared" si="3"/>
        <v>3</v>
      </c>
    </row>
    <row r="8" spans="1:17">
      <c r="A8" s="21">
        <f>'[1]Hoja 1'!A8</f>
        <v>7</v>
      </c>
      <c r="B8" s="21" t="str">
        <f>'[1]Hoja 1'!B8</f>
        <v>GRUPO frutas</v>
      </c>
      <c r="C8" s="21" t="str">
        <f>'[1]Hoja 1'!C8</f>
        <v>GRUPO POSTRES</v>
      </c>
      <c r="D8" s="21" t="str">
        <f>'[1]Hoja 1'!D8</f>
        <v>Uva</v>
      </c>
      <c r="E8" s="21" t="str">
        <f>'[1]Hoja 1'!E8</f>
        <v>Frutas pequeña</v>
      </c>
      <c r="F8" s="21">
        <f>IFERROR(VALUE(SUBSTITUTE('[1]Hoja 1'!F8,".","")),"")</f>
        <v>9</v>
      </c>
      <c r="G8" s="21">
        <f>IFERROR(VALUE(SUBSTITUTE(SUBSTITUTE('[1]Hoja 1'!G8,".",""),",",".")),"")</f>
        <v>10</v>
      </c>
      <c r="H8" s="21">
        <f>'[1]Hoja 1'!H8</f>
        <v>1</v>
      </c>
      <c r="I8" s="21">
        <f>'[1]Hoja 1'!I8</f>
        <v>4</v>
      </c>
      <c r="J8" s="21">
        <f>'[1]Hoja 1'!J8</f>
        <v>3</v>
      </c>
      <c r="K8" s="21" t="str">
        <f t="shared" si="4"/>
        <v>GRUPO frutas|Uva|3</v>
      </c>
      <c r="L8" s="21" t="b">
        <f>COUNTIFS($K$2:K8,K8)&gt;1</f>
        <v>0</v>
      </c>
      <c r="M8" s="21" t="b">
        <f t="shared" si="0"/>
        <v>0</v>
      </c>
      <c r="N8" s="21" t="b">
        <f t="shared" si="5"/>
        <v>1</v>
      </c>
      <c r="O8" s="21">
        <f t="shared" si="1"/>
        <v>10</v>
      </c>
      <c r="P8" s="21">
        <f t="shared" si="2"/>
        <v>1</v>
      </c>
      <c r="Q8" s="21">
        <f t="shared" si="3"/>
        <v>4</v>
      </c>
    </row>
    <row r="9" spans="1:17">
      <c r="A9" s="21">
        <f>'[1]Hoja 1'!A9</f>
        <v>8</v>
      </c>
      <c r="B9" s="21" t="str">
        <f>'[1]Hoja 1'!B9</f>
        <v>GRUPO frutas</v>
      </c>
      <c r="C9" s="21">
        <f>'[1]Hoja 1'!C9</f>
        <v>0</v>
      </c>
      <c r="D9" s="21" t="str">
        <f>'[1]Hoja 1'!D9</f>
        <v>Naranja</v>
      </c>
      <c r="E9" s="21" t="str">
        <f>'[1]Hoja 1'!E9</f>
        <v>Frutas mediana</v>
      </c>
      <c r="F9" s="21">
        <f>IFERROR(VALUE(SUBSTITUTE('[1]Hoja 1'!F9,".","")),"")</f>
        <v>3</v>
      </c>
      <c r="G9" s="21">
        <f>IFERROR(VALUE(SUBSTITUTE(SUBSTITUTE('[1]Hoja 1'!G9,".",""),",",".")),"")</f>
        <v>3</v>
      </c>
      <c r="H9" s="21">
        <f>'[1]Hoja 1'!H9</f>
        <v>0</v>
      </c>
      <c r="I9" s="21">
        <f>'[1]Hoja 1'!I9</f>
        <v>3</v>
      </c>
      <c r="J9" s="21">
        <f>'[1]Hoja 1'!J9</f>
        <v>0</v>
      </c>
      <c r="K9" s="21" t="str">
        <f t="shared" si="4"/>
        <v>GRUPO frutas|Naranja|0</v>
      </c>
      <c r="L9" s="21" t="b">
        <f>COUNTIFS($K$2:K9,K9)&gt;1</f>
        <v>0</v>
      </c>
      <c r="M9" s="21" t="b">
        <f t="shared" si="0"/>
        <v>0</v>
      </c>
      <c r="N9" s="21" t="b">
        <f t="shared" si="5"/>
        <v>1</v>
      </c>
      <c r="O9" s="21">
        <f t="shared" si="1"/>
        <v>3</v>
      </c>
      <c r="P9" s="21">
        <f t="shared" si="2"/>
        <v>0</v>
      </c>
      <c r="Q9" s="21">
        <f t="shared" si="3"/>
        <v>3</v>
      </c>
    </row>
    <row r="10" spans="1:17">
      <c r="A10" s="21">
        <f>'[1]Hoja 1'!A10</f>
        <v>9</v>
      </c>
      <c r="B10" s="21" t="str">
        <f>'[1]Hoja 1'!B10</f>
        <v>GRUPO frutas</v>
      </c>
      <c r="C10" s="21" t="str">
        <f>'[1]Hoja 1'!C10</f>
        <v>GRUPO POSTRES</v>
      </c>
      <c r="D10" s="21" t="str">
        <f>'[1]Hoja 1'!D10</f>
        <v>Lima</v>
      </c>
      <c r="E10" s="21" t="str">
        <f>'[1]Hoja 1'!E10</f>
        <v>Frutas pequeña</v>
      </c>
      <c r="F10" s="21">
        <f>IFERROR(VALUE(SUBSTITUTE('[1]Hoja 1'!F10,".","")),"")</f>
        <v>2</v>
      </c>
      <c r="G10" s="21">
        <f>IFERROR(VALUE(SUBSTITUTE(SUBSTITUTE('[1]Hoja 1'!G10,".",""),",",".")),"")</f>
        <v>2</v>
      </c>
      <c r="H10" s="21">
        <f>'[1]Hoja 1'!H10</f>
        <v>2</v>
      </c>
      <c r="I10" s="21">
        <f>'[1]Hoja 1'!I10</f>
        <v>4</v>
      </c>
      <c r="J10" s="21">
        <f>'[1]Hoja 1'!J10</f>
        <v>2</v>
      </c>
      <c r="K10" s="21" t="str">
        <f t="shared" si="4"/>
        <v>GRUPO frutas|Lima|2</v>
      </c>
      <c r="L10" s="21" t="b">
        <f>COUNTIFS($K$2:K10,K10)&gt;1</f>
        <v>0</v>
      </c>
      <c r="M10" s="21" t="b">
        <f t="shared" si="0"/>
        <v>0</v>
      </c>
      <c r="N10" s="21" t="b">
        <f t="shared" si="5"/>
        <v>1</v>
      </c>
      <c r="O10" s="21">
        <f t="shared" si="1"/>
        <v>2</v>
      </c>
      <c r="P10" s="21">
        <f t="shared" si="2"/>
        <v>2</v>
      </c>
      <c r="Q10" s="21">
        <f t="shared" si="3"/>
        <v>4</v>
      </c>
    </row>
    <row r="11" spans="1:17">
      <c r="A11" s="21">
        <f>'[1]Hoja 1'!A11</f>
        <v>10</v>
      </c>
      <c r="B11" s="21" t="str">
        <f>'[1]Hoja 1'!B11</f>
        <v>GRUPO frutas</v>
      </c>
      <c r="C11" s="21" t="str">
        <f>'[1]Hoja 1'!C11</f>
        <v>GRUPO SUPER</v>
      </c>
      <c r="D11" s="21" t="str">
        <f>'[1]Hoja 1'!D11</f>
        <v>Pitahaya</v>
      </c>
      <c r="E11" s="21" t="str">
        <f>'[1]Hoja 1'!E11</f>
        <v>Frutas mediana</v>
      </c>
      <c r="F11" s="21">
        <f>IFERROR(VALUE(SUBSTITUTE('[1]Hoja 1'!F11,".","")),"")</f>
        <v>8</v>
      </c>
      <c r="G11" s="21">
        <f>IFERROR(VALUE(SUBSTITUTE(SUBSTITUTE('[1]Hoja 1'!G11,".",""),",",".")),"")</f>
        <v>8</v>
      </c>
      <c r="H11" s="21">
        <f>'[1]Hoja 1'!H11</f>
        <v>1</v>
      </c>
      <c r="I11" s="21">
        <f>'[1]Hoja 1'!I11</f>
        <v>3</v>
      </c>
      <c r="J11" s="21">
        <f>'[1]Hoja 1'!J11</f>
        <v>1</v>
      </c>
      <c r="K11" s="21" t="str">
        <f t="shared" si="4"/>
        <v>GRUPO frutas|Pitahaya|1</v>
      </c>
      <c r="L11" s="21" t="b">
        <f>COUNTIFS($K$2:K11,K11)&gt;1</f>
        <v>0</v>
      </c>
      <c r="M11" s="21" t="b">
        <f t="shared" si="0"/>
        <v>0</v>
      </c>
      <c r="N11" s="21" t="b">
        <f t="shared" si="5"/>
        <v>1</v>
      </c>
      <c r="O11" s="21">
        <f t="shared" si="1"/>
        <v>8</v>
      </c>
      <c r="P11" s="21">
        <f t="shared" si="2"/>
        <v>1</v>
      </c>
      <c r="Q11" s="21">
        <f t="shared" si="3"/>
        <v>3</v>
      </c>
    </row>
    <row r="12" spans="1:17">
      <c r="A12" s="21">
        <f>'[1]Hoja 1'!A12</f>
        <v>11</v>
      </c>
      <c r="B12" s="21" t="str">
        <f>'[1]Hoja 1'!B12</f>
        <v>GRUPO frutas</v>
      </c>
      <c r="C12" s="21" t="str">
        <f>'[1]Hoja 1'!C12</f>
        <v>GRUPO MAQUILLAJE</v>
      </c>
      <c r="D12" s="21" t="str">
        <f>'[1]Hoja 1'!D12</f>
        <v>Cereza</v>
      </c>
      <c r="E12" s="21" t="str">
        <f>'[1]Hoja 1'!E12</f>
        <v>Frutas pequeña</v>
      </c>
      <c r="F12" s="21">
        <f>IFERROR(VALUE(SUBSTITUTE('[1]Hoja 1'!F12,".","")),"")</f>
        <v>6</v>
      </c>
      <c r="G12" s="21">
        <f>IFERROR(VALUE(SUBSTITUTE(SUBSTITUTE('[1]Hoja 1'!G12,".",""),",",".")),"")</f>
        <v>6</v>
      </c>
      <c r="H12" s="21">
        <f>'[1]Hoja 1'!H12</f>
        <v>1</v>
      </c>
      <c r="I12" s="21">
        <f>'[1]Hoja 1'!I12</f>
        <v>3</v>
      </c>
      <c r="J12" s="21">
        <f>'[1]Hoja 1'!J12</f>
        <v>3</v>
      </c>
      <c r="K12" s="21" t="str">
        <f t="shared" si="4"/>
        <v>GRUPO frutas|Cereza|3</v>
      </c>
      <c r="L12" s="21" t="b">
        <f>COUNTIFS($K$2:K12,K12)&gt;1</f>
        <v>0</v>
      </c>
      <c r="M12" s="21" t="b">
        <f t="shared" si="0"/>
        <v>0</v>
      </c>
      <c r="N12" s="21" t="b">
        <f t="shared" si="5"/>
        <v>1</v>
      </c>
      <c r="O12" s="21">
        <f t="shared" si="1"/>
        <v>6</v>
      </c>
      <c r="P12" s="21">
        <f t="shared" si="2"/>
        <v>1</v>
      </c>
      <c r="Q12" s="21">
        <f t="shared" si="3"/>
        <v>3</v>
      </c>
    </row>
    <row r="13" spans="1:17">
      <c r="A13" s="21">
        <f>'[1]Hoja 1'!A13</f>
        <v>12</v>
      </c>
      <c r="B13" s="21" t="str">
        <f>'[1]Hoja 1'!B13</f>
        <v>GRUPO frutas</v>
      </c>
      <c r="C13" s="21" t="str">
        <f>'[1]Hoja 1'!C13</f>
        <v>GRUPO SUPER</v>
      </c>
      <c r="D13" s="21" t="str">
        <f>'[1]Hoja 1'!D13</f>
        <v>Arándanos</v>
      </c>
      <c r="E13" s="21" t="str">
        <f>'[1]Hoja 1'!E13</f>
        <v>Frutas pequeña</v>
      </c>
      <c r="F13" s="21">
        <f>IFERROR(VALUE(SUBSTITUTE('[1]Hoja 1'!F13,".","")),"")</f>
        <v>8</v>
      </c>
      <c r="G13" s="21">
        <f>IFERROR(VALUE(SUBSTITUTE(SUBSTITUTE('[1]Hoja 1'!G13,".",""),",",".")),"")</f>
        <v>10</v>
      </c>
      <c r="H13" s="21">
        <f>'[1]Hoja 1'!H13</f>
        <v>1</v>
      </c>
      <c r="I13" s="21">
        <f>'[1]Hoja 1'!I13</f>
        <v>1</v>
      </c>
      <c r="J13" s="21">
        <f>'[1]Hoja 1'!J13</f>
        <v>3</v>
      </c>
      <c r="K13" s="21" t="str">
        <f t="shared" si="4"/>
        <v>GRUPO frutas|Arándanos|3</v>
      </c>
      <c r="L13" s="21" t="b">
        <f>COUNTIFS($K$2:K13,K13)&gt;1</f>
        <v>0</v>
      </c>
      <c r="M13" s="21" t="b">
        <f t="shared" si="0"/>
        <v>0</v>
      </c>
      <c r="N13" s="21" t="b">
        <f t="shared" si="5"/>
        <v>1</v>
      </c>
      <c r="O13" s="21">
        <f t="shared" si="1"/>
        <v>10</v>
      </c>
      <c r="P13" s="21">
        <f t="shared" si="2"/>
        <v>1</v>
      </c>
      <c r="Q13" s="21">
        <f t="shared" si="3"/>
        <v>1</v>
      </c>
    </row>
    <row r="14" spans="1:17">
      <c r="A14" s="21"/>
    </row>
    <row r="15" spans="1:17">
      <c r="A15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AD31-6DFF-4307-A625-5F76D454C575}">
  <dimension ref="A1:B13"/>
  <sheetViews>
    <sheetView workbookViewId="0">
      <selection activeCell="A11" sqref="A11:A13"/>
    </sheetView>
  </sheetViews>
  <sheetFormatPr baseColWidth="10" defaultRowHeight="15"/>
  <cols>
    <col min="1" max="1" width="34.7109375" bestFit="1" customWidth="1"/>
    <col min="2" max="2" width="24.7109375" bestFit="1" customWidth="1"/>
  </cols>
  <sheetData>
    <row r="1" spans="1:2">
      <c r="A1" s="22" t="s">
        <v>55</v>
      </c>
      <c r="B1" s="23">
        <f>MIN(Datos!G:G)</f>
        <v>2.5</v>
      </c>
    </row>
    <row r="2" spans="1:2">
      <c r="A2" s="22" t="s">
        <v>56</v>
      </c>
      <c r="B2" s="23">
        <f>MAX(Datos!G:G)</f>
        <v>74</v>
      </c>
    </row>
    <row r="3" spans="1:2">
      <c r="A3" s="22" t="s">
        <v>57</v>
      </c>
      <c r="B3" s="23">
        <f>_xlfn.STDEV.S(Datos!G:G)</f>
        <v>17.730534382818078</v>
      </c>
    </row>
    <row r="4" spans="1:2">
      <c r="A4" s="22" t="s">
        <v>58</v>
      </c>
      <c r="B4" s="23">
        <f>_xlfn.QUARTILE.INC(Datos!G:G,1)</f>
        <v>4.6500000000000004</v>
      </c>
    </row>
    <row r="5" spans="1:2">
      <c r="A5" s="22" t="s">
        <v>59</v>
      </c>
      <c r="B5" s="23">
        <f>MEDIAN(Datos!G:G)</f>
        <v>6</v>
      </c>
    </row>
    <row r="6" spans="1:2">
      <c r="A6" s="22" t="s">
        <v>60</v>
      </c>
      <c r="B6" s="23">
        <f>_xlfn.QUARTILE.INC(Datos!G:G,3)</f>
        <v>9</v>
      </c>
    </row>
    <row r="7" spans="1:2">
      <c r="A7" s="22" t="s">
        <v>61</v>
      </c>
      <c r="B7" s="23">
        <f>B4-1.5*(B6-B4)</f>
        <v>-1.8749999999999991</v>
      </c>
    </row>
    <row r="8" spans="1:2">
      <c r="A8" s="22" t="s">
        <v>62</v>
      </c>
      <c r="B8" s="23">
        <f>B6+1.5*(B6-B4)</f>
        <v>15.524999999999999</v>
      </c>
    </row>
    <row r="10" spans="1:2">
      <c r="A10" s="20" t="s">
        <v>63</v>
      </c>
      <c r="B10" s="20" t="s">
        <v>64</v>
      </c>
    </row>
    <row r="11" spans="1:2">
      <c r="A11" s="22" t="s">
        <v>70</v>
      </c>
      <c r="B11" s="22">
        <v>4</v>
      </c>
    </row>
    <row r="12" spans="1:2">
      <c r="A12" s="22" t="s">
        <v>71</v>
      </c>
      <c r="B12" s="22">
        <v>5</v>
      </c>
    </row>
    <row r="13" spans="1:2">
      <c r="A13" s="22" t="s">
        <v>72</v>
      </c>
      <c r="B13" s="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5AE9-A5F3-416C-A15E-96D2E5FA772D}">
  <dimension ref="A1:B12"/>
  <sheetViews>
    <sheetView workbookViewId="0">
      <selection activeCell="B11" sqref="B11"/>
    </sheetView>
  </sheetViews>
  <sheetFormatPr baseColWidth="10" defaultRowHeight="15"/>
  <cols>
    <col min="1" max="1" width="32.28515625" bestFit="1" customWidth="1"/>
    <col min="2" max="2" width="17.85546875" bestFit="1" customWidth="1"/>
  </cols>
  <sheetData>
    <row r="1" spans="1:2">
      <c r="A1" s="24" t="s">
        <v>65</v>
      </c>
    </row>
    <row r="2" spans="1:2">
      <c r="A2" s="20" t="s">
        <v>63</v>
      </c>
      <c r="B2" s="20" t="s">
        <v>66</v>
      </c>
    </row>
    <row r="3" spans="1:2">
      <c r="A3" s="22" t="s">
        <v>70</v>
      </c>
      <c r="B3" s="23">
        <f>(Limpieza!G10+Limpieza!G12+Limpieza!G13+Limpieza!G8)/4</f>
        <v>7</v>
      </c>
    </row>
    <row r="4" spans="1:2">
      <c r="A4" s="22" t="s">
        <v>71</v>
      </c>
      <c r="B4" s="23">
        <f>Limpieza!G2+Limpieza!G6+Limpieza!G9+Limpieza!G11/4</f>
        <v>11</v>
      </c>
    </row>
    <row r="5" spans="1:2">
      <c r="A5" s="22" t="s">
        <v>72</v>
      </c>
      <c r="B5" s="23">
        <f>(Limpieza!G3+Limpieza!G4+Limpieza!G5)/3</f>
        <v>7.333333333333333</v>
      </c>
    </row>
    <row r="8" spans="1:2">
      <c r="A8" s="24" t="s">
        <v>67</v>
      </c>
    </row>
    <row r="9" spans="1:2">
      <c r="A9" s="20" t="s">
        <v>68</v>
      </c>
      <c r="B9" s="20" t="s">
        <v>69</v>
      </c>
    </row>
    <row r="10" spans="1:2">
      <c r="A10" s="22" t="s">
        <v>73</v>
      </c>
      <c r="B10" s="23">
        <f>SUM(Limpieza!G2:G13)</f>
        <v>71</v>
      </c>
    </row>
    <row r="11" spans="1:2">
      <c r="A11" s="22"/>
      <c r="B11" s="23"/>
    </row>
    <row r="12" spans="1:2">
      <c r="A12" s="22"/>
      <c r="B12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293A-F11F-493D-B423-DFB36860BF65}">
  <dimension ref="A1:B6"/>
  <sheetViews>
    <sheetView workbookViewId="0">
      <selection activeCell="C10" sqref="C10"/>
    </sheetView>
  </sheetViews>
  <sheetFormatPr baseColWidth="10" defaultRowHeight="15"/>
  <cols>
    <col min="1" max="1" width="45" bestFit="1" customWidth="1"/>
  </cols>
  <sheetData>
    <row r="1" spans="1:2">
      <c r="A1" s="24" t="s">
        <v>74</v>
      </c>
    </row>
    <row r="3" spans="1:2">
      <c r="A3" s="22" t="s">
        <v>75</v>
      </c>
      <c r="B3" s="25">
        <f>CORREL(Limpieza!$Q$2:$Q$13, Limpieza!$O$2:$O$13)</f>
        <v>-0.36162505086053587</v>
      </c>
    </row>
    <row r="4" spans="1:2">
      <c r="A4" s="22" t="s">
        <v>76</v>
      </c>
      <c r="B4" s="22" t="str">
        <f>IF(ABS(B3)&gt;=0.7,"Correlación fuerte",IF(ABS(B3)&gt;=0.3,"Correlación moderada","Correlación débil"))&amp;IF(B3&gt;=0," positiva."," negativa.")</f>
        <v>Correlación moderada negativa.</v>
      </c>
    </row>
    <row r="6" spans="1:2">
      <c r="A6" s="26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8D2A-4DFB-4B34-8015-3F6F5C5A95AC}">
  <dimension ref="A1:B7"/>
  <sheetViews>
    <sheetView tabSelected="1" workbookViewId="0">
      <selection activeCell="B5" sqref="B5"/>
    </sheetView>
  </sheetViews>
  <sheetFormatPr baseColWidth="10" defaultRowHeight="15"/>
  <cols>
    <col min="1" max="1" width="19.85546875" bestFit="1" customWidth="1"/>
    <col min="2" max="2" width="77" bestFit="1" customWidth="1"/>
  </cols>
  <sheetData>
    <row r="1" spans="1:2">
      <c r="A1" s="27" t="s">
        <v>78</v>
      </c>
    </row>
    <row r="3" spans="1:2">
      <c r="A3" s="24" t="s">
        <v>79</v>
      </c>
      <c r="B3" t="s">
        <v>83</v>
      </c>
    </row>
    <row r="5" spans="1:2">
      <c r="A5" s="24" t="s">
        <v>80</v>
      </c>
      <c r="B5" s="28" t="s">
        <v>84</v>
      </c>
    </row>
    <row r="7" spans="1:2">
      <c r="A7" s="24" t="s">
        <v>81</v>
      </c>
      <c r="B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Limpieza</vt:lpstr>
      <vt:lpstr>Univariado</vt:lpstr>
      <vt:lpstr>Bivariado</vt:lpstr>
      <vt:lpstr>Correlación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Ira Taylor</cp:lastModifiedBy>
  <dcterms:created xsi:type="dcterms:W3CDTF">2026-08-10T18:00:48Z</dcterms:created>
  <dcterms:modified xsi:type="dcterms:W3CDTF">2026-08-12T06:56:20Z</dcterms:modified>
</cp:coreProperties>
</file>
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RACEMA\Documents\Mel UR\"/>
    </mc:Choice>
  </mc:AlternateContent>
  <xr:revisionPtr revIDLastSave="0" documentId="13_ncr:1_{BF4A73DD-2216-4AB0-AEAA-5FE035A0BCE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Hoja 1" sheetId="1" r:id="rId1"/>
    <sheet name="Hoja.1.1" sheetId="2" r:id="rId2"/>
    <sheet name="Hoja 2" sheetId="3" r:id="rId3"/>
    <sheet name="Hoja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B13" i="3"/>
  <c r="B12" i="3"/>
  <c r="B11" i="3"/>
  <c r="B10" i="3"/>
  <c r="D7" i="3"/>
  <c r="H20" i="2"/>
  <c r="G20" i="2"/>
  <c r="F20" i="2"/>
  <c r="B20" i="2"/>
  <c r="H19" i="2"/>
  <c r="G19" i="2"/>
  <c r="F19" i="2"/>
  <c r="C19" i="2"/>
  <c r="H18" i="2"/>
  <c r="G18" i="2"/>
  <c r="F18" i="2"/>
  <c r="C18" i="2"/>
  <c r="H17" i="2"/>
  <c r="G17" i="2"/>
  <c r="F17" i="2"/>
  <c r="C17" i="2"/>
  <c r="C20" i="2" s="1"/>
  <c r="G12" i="2"/>
  <c r="B22" i="2" s="1"/>
  <c r="F12" i="2"/>
  <c r="E12" i="2"/>
  <c r="D12" i="2"/>
  <c r="C12" i="2"/>
  <c r="B12" i="2"/>
  <c r="K14" i="1"/>
  <c r="F14" i="1"/>
</calcChain>
</file>

<file path=xl/sharedStrings.xml><?xml version="1.0" encoding="utf-8"?>
<sst xmlns="http://schemas.openxmlformats.org/spreadsheetml/2006/main" count="133" uniqueCount="63">
  <si>
    <t>Presupuesto</t>
  </si>
  <si>
    <t>Frutas</t>
  </si>
  <si>
    <t>Productos</t>
  </si>
  <si>
    <t>Inversión (MIL)</t>
  </si>
  <si>
    <t>Cantiad</t>
  </si>
  <si>
    <t>Precio en K</t>
  </si>
  <si>
    <t>precio en K</t>
  </si>
  <si>
    <t xml:space="preserve">Precio de ganacia en K </t>
  </si>
  <si>
    <t>Cantidad</t>
  </si>
  <si>
    <t>Nombre del comprador</t>
  </si>
  <si>
    <t>lapiz de labios cafe</t>
  </si>
  <si>
    <t>Total</t>
  </si>
  <si>
    <t>Ronda</t>
  </si>
  <si>
    <t>Pera</t>
  </si>
  <si>
    <t>Juan Esteban</t>
  </si>
  <si>
    <t xml:space="preserve">lapiz de ojos azul </t>
  </si>
  <si>
    <t>Piña</t>
  </si>
  <si>
    <t>lapiz de ojos negro</t>
  </si>
  <si>
    <t>David</t>
  </si>
  <si>
    <t>Papaya</t>
  </si>
  <si>
    <t>ge</t>
  </si>
  <si>
    <t>baguette</t>
  </si>
  <si>
    <t>Antwone</t>
  </si>
  <si>
    <t>Manzana</t>
  </si>
  <si>
    <t>galleta</t>
  </si>
  <si>
    <t>Sara</t>
  </si>
  <si>
    <t>Gasto</t>
  </si>
  <si>
    <t>Banano</t>
  </si>
  <si>
    <t>Sandía</t>
  </si>
  <si>
    <t>Uva</t>
  </si>
  <si>
    <t>Lina</t>
  </si>
  <si>
    <t>Lima</t>
  </si>
  <si>
    <t>Mariana</t>
  </si>
  <si>
    <t>Gastos</t>
  </si>
  <si>
    <t>Pitahaya</t>
  </si>
  <si>
    <t>Media</t>
  </si>
  <si>
    <t>Cereza</t>
  </si>
  <si>
    <t>Alisson</t>
  </si>
  <si>
    <t>Arándanos</t>
  </si>
  <si>
    <t>Naranja</t>
  </si>
  <si>
    <t>Moda</t>
  </si>
  <si>
    <t>Varianza muestral</t>
  </si>
  <si>
    <t>Varianza pob</t>
  </si>
  <si>
    <t>Gasto (compra)</t>
  </si>
  <si>
    <t>Venta por ronda</t>
  </si>
  <si>
    <t>Precio de venta</t>
  </si>
  <si>
    <t>Ganancias</t>
  </si>
  <si>
    <t>Ronda 1</t>
  </si>
  <si>
    <t>Ronda 2</t>
  </si>
  <si>
    <t>Ronda 3</t>
  </si>
  <si>
    <t>Total gasto</t>
  </si>
  <si>
    <t>Vendedor</t>
  </si>
  <si>
    <t>GRUPO frutas</t>
  </si>
  <si>
    <t>ID_VENTAS</t>
  </si>
  <si>
    <t>GRUPO MAQUILLAJE</t>
  </si>
  <si>
    <t>GRUPO SUPER</t>
  </si>
  <si>
    <t>GRUPO POSTRES</t>
  </si>
  <si>
    <t>Categoría</t>
  </si>
  <si>
    <t>Precio final</t>
  </si>
  <si>
    <t>Calificación</t>
  </si>
  <si>
    <t>Frutas mediana</t>
  </si>
  <si>
    <t>Frutas grande</t>
  </si>
  <si>
    <t>Frutas pequeña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</si>
</sst>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ptos Narrow"/>
    </font>
    <font>
      <b/>
      <sz val="11"/>
      <color rgb="FF000000"/>
      <name val="Arial"/>
    </font>
    <font>
      <sz val="11"/>
      <color rgb="FF000000"/>
      <name val="Aptos Narrow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b/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2CEEF"/>
        <bgColor rgb="FFF2CEEF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3" fillId="0" borderId="0" xfId="0" applyFont="1" applyAlignment="1">
      <alignment horizontal="center"/>
    </xf>
    <xf numFmtId="0" fontId="4" fillId="8" borderId="1" xfId="0" applyFont="1" applyFill="1" applyBorder="1"/>
    <xf numFmtId="0" fontId="2" fillId="0" borderId="0" xfId="0" applyFont="1" applyAlignment="1">
      <alignment horizontal="center"/>
    </xf>
    <xf numFmtId="0" fontId="4" fillId="8" borderId="0" xfId="0" applyFont="1" applyFill="1" applyAlignment="1">
      <alignment horizontal="right"/>
    </xf>
    <xf numFmtId="0" fontId="4" fillId="8" borderId="0" xfId="0" applyFont="1" applyFill="1"/>
    <xf numFmtId="0" fontId="5" fillId="8" borderId="0" xfId="0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/>
    <xf numFmtId="0" fontId="6" fillId="8" borderId="0" xfId="0" applyFont="1" applyFill="1" applyAlignment="1">
      <alignment horizontal="right"/>
    </xf>
    <xf numFmtId="0" fontId="1" fillId="9" borderId="1" xfId="0" applyFont="1" applyFill="1" applyBorder="1"/>
    <xf numFmtId="0" fontId="5" fillId="0" borderId="0" xfId="0" applyFont="1"/>
    <xf numFmtId="0" fontId="1" fillId="9" borderId="2" xfId="0" applyFont="1" applyFill="1" applyBorder="1"/>
    <xf numFmtId="0" fontId="6" fillId="8" borderId="0" xfId="0" applyFont="1" applyFill="1"/>
    <xf numFmtId="0" fontId="1" fillId="10" borderId="2" xfId="0" applyFont="1" applyFill="1" applyBorder="1"/>
    <xf numFmtId="0" fontId="4" fillId="3" borderId="1" xfId="0" applyFont="1" applyFill="1" applyBorder="1"/>
    <xf numFmtId="0" fontId="4" fillId="0" borderId="1" xfId="0" applyFont="1" applyBorder="1" applyAlignment="1">
      <alignment horizontal="right"/>
    </xf>
    <xf numFmtId="0" fontId="6" fillId="0" borderId="0" xfId="0" applyFont="1"/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4" fillId="12" borderId="1" xfId="0" applyFont="1" applyFill="1" applyBorder="1" applyAlignment="1">
      <alignment horizontal="right"/>
    </xf>
    <xf numFmtId="0" fontId="1" fillId="10" borderId="1" xfId="0" applyFont="1" applyFill="1" applyBorder="1"/>
    <xf numFmtId="0" fontId="4" fillId="12" borderId="1" xfId="0" applyFont="1" applyFill="1" applyBorder="1"/>
    <xf numFmtId="0" fontId="5" fillId="8" borderId="0" xfId="0" applyFont="1" applyFill="1"/>
    <xf numFmtId="0" fontId="8" fillId="0" borderId="0" xfId="0" applyFont="1"/>
    <xf numFmtId="0" fontId="9" fillId="3" borderId="1" xfId="0" applyFont="1" applyFill="1" applyBorder="1" applyAlignment="1">
      <alignment horizontal="center"/>
    </xf>
    <xf numFmtId="0" fontId="7" fillId="8" borderId="1" xfId="0" applyFont="1" applyFill="1" applyBorder="1"/>
    <xf numFmtId="0" fontId="7" fillId="8" borderId="0" xfId="0" applyFont="1" applyFill="1"/>
    <xf numFmtId="0" fontId="9" fillId="3" borderId="3" xfId="0" applyFont="1" applyFill="1" applyBorder="1" applyAlignment="1">
      <alignment horizontal="center"/>
    </xf>
    <xf numFmtId="0" fontId="7" fillId="8" borderId="3" xfId="0" applyFont="1" applyFill="1" applyBorder="1"/>
    <xf numFmtId="0" fontId="7" fillId="8" borderId="0" xfId="0" applyFont="1" applyFill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CO" b="0">
                <a:solidFill>
                  <a:srgbClr val="757575"/>
                </a:solidFill>
                <a:latin typeface="+mn-lt"/>
              </a:rPr>
              <a:t>Precio en K contra Inversión (MIL)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1'!$F$1</c:f>
              <c:strCache>
                <c:ptCount val="1"/>
                <c:pt idx="0">
                  <c:v>Precio en K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1'!#REF!</c:f>
            </c:numRef>
          </c:xVal>
          <c:yVal>
            <c:numRef>
              <c:f>'Hoja 1'!$F$2:$F$13</c:f>
              <c:numCache>
                <c:formatCode>General</c:formatCode>
                <c:ptCount val="12"/>
                <c:pt idx="0">
                  <c:v>2.5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3.5</c:v>
                </c:pt>
                <c:pt idx="5">
                  <c:v>4</c:v>
                </c:pt>
                <c:pt idx="6">
                  <c:v>9</c:v>
                </c:pt>
                <c:pt idx="7">
                  <c:v>3</c:v>
                </c:pt>
                <c:pt idx="8">
                  <c:v>2</c:v>
                </c:pt>
                <c:pt idx="9">
                  <c:v>8</c:v>
                </c:pt>
                <c:pt idx="10">
                  <c:v>6</c:v>
                </c:pt>
                <c:pt idx="1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F-4A24-BF15-E3A30816D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650536"/>
        <c:axId val="1529252326"/>
      </c:scatterChart>
      <c:valAx>
        <c:axId val="8596505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Inversión (MIL)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1529252326"/>
        <c:crosses val="autoZero"/>
        <c:crossBetween val="midCat"/>
      </c:valAx>
      <c:valAx>
        <c:axId val="15292523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O" b="0">
                    <a:solidFill>
                      <a:srgbClr val="000000"/>
                    </a:solidFill>
                    <a:latin typeface="+mn-lt"/>
                  </a:rPr>
                  <a:t>Precio en 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85965053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CO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514350</xdr:colOff>
      <xdr:row>23</xdr:row>
      <xdr:rowOff>47625</xdr:rowOff>
    </xdr:from>
    <xdr:ext cx="5715000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3"/>
  <sheetViews>
    <sheetView workbookViewId="0">
      <selection activeCell="E14" sqref="E14"/>
    </sheetView>
  </sheetViews>
  <sheetFormatPr baseColWidth="10" defaultColWidth="12.5703125" defaultRowHeight="15.75" customHeight="1"/>
  <cols>
    <col min="2" max="2" width="16.42578125" bestFit="1" customWidth="1"/>
    <col min="3" max="3" width="22" bestFit="1" customWidth="1"/>
    <col min="4" max="4" width="21.5703125" customWidth="1"/>
    <col min="5" max="5" width="14.28515625" customWidth="1"/>
    <col min="7" max="7" width="13.7109375" bestFit="1" customWidth="1"/>
  </cols>
  <sheetData>
    <row r="1" spans="1:12" ht="15.75" customHeight="1">
      <c r="A1" s="35" t="s">
        <v>53</v>
      </c>
      <c r="B1" s="36" t="s">
        <v>51</v>
      </c>
      <c r="C1" s="2" t="s">
        <v>9</v>
      </c>
      <c r="D1" s="36" t="s">
        <v>2</v>
      </c>
      <c r="E1" s="39" t="s">
        <v>57</v>
      </c>
      <c r="F1" s="4" t="s">
        <v>5</v>
      </c>
      <c r="G1" s="39" t="s">
        <v>58</v>
      </c>
      <c r="H1" s="4" t="s">
        <v>8</v>
      </c>
      <c r="I1" s="36" t="s">
        <v>59</v>
      </c>
      <c r="J1" s="2" t="s">
        <v>12</v>
      </c>
      <c r="L1" s="2" t="s">
        <v>11</v>
      </c>
    </row>
    <row r="2" spans="1:12" ht="15.75" customHeight="1">
      <c r="A2">
        <v>1</v>
      </c>
      <c r="B2" s="37" t="s">
        <v>52</v>
      </c>
      <c r="C2" s="38" t="s">
        <v>54</v>
      </c>
      <c r="D2" s="9" t="s">
        <v>13</v>
      </c>
      <c r="E2" s="40" t="s">
        <v>60</v>
      </c>
      <c r="F2" s="11">
        <v>2.5</v>
      </c>
      <c r="G2" s="11">
        <v>2.5</v>
      </c>
      <c r="H2" s="11">
        <v>1</v>
      </c>
      <c r="I2" s="12">
        <v>5</v>
      </c>
      <c r="J2" s="13">
        <v>2</v>
      </c>
      <c r="L2" s="11">
        <v>2.5</v>
      </c>
    </row>
    <row r="3" spans="1:12" ht="15.75" customHeight="1">
      <c r="A3">
        <v>2</v>
      </c>
      <c r="B3" s="37" t="s">
        <v>52</v>
      </c>
      <c r="C3" s="38" t="s">
        <v>55</v>
      </c>
      <c r="D3" s="9" t="s">
        <v>16</v>
      </c>
      <c r="E3" s="40" t="s">
        <v>61</v>
      </c>
      <c r="F3" s="11">
        <v>6</v>
      </c>
      <c r="G3">
        <v>8</v>
      </c>
      <c r="H3" s="11">
        <v>1</v>
      </c>
      <c r="I3" s="12">
        <v>2</v>
      </c>
      <c r="J3" s="13">
        <v>3</v>
      </c>
      <c r="L3" s="11">
        <v>8</v>
      </c>
    </row>
    <row r="4" spans="1:12" ht="15.75" customHeight="1">
      <c r="A4">
        <v>3</v>
      </c>
      <c r="B4" s="37" t="s">
        <v>52</v>
      </c>
      <c r="C4" s="12" t="s">
        <v>55</v>
      </c>
      <c r="D4" s="9" t="s">
        <v>19</v>
      </c>
      <c r="E4" s="40" t="s">
        <v>61</v>
      </c>
      <c r="F4" s="11">
        <v>6</v>
      </c>
      <c r="G4" s="11">
        <v>6</v>
      </c>
      <c r="H4" s="11">
        <v>3</v>
      </c>
      <c r="I4" s="22">
        <v>1</v>
      </c>
      <c r="J4" s="13">
        <v>1</v>
      </c>
      <c r="L4" s="11">
        <v>18</v>
      </c>
    </row>
    <row r="5" spans="1:12" ht="15.75" customHeight="1">
      <c r="A5">
        <v>4</v>
      </c>
      <c r="B5" s="37" t="s">
        <v>52</v>
      </c>
      <c r="C5" s="12"/>
      <c r="D5" s="9" t="s">
        <v>28</v>
      </c>
      <c r="E5" s="40" t="s">
        <v>61</v>
      </c>
      <c r="F5" s="11">
        <v>8</v>
      </c>
      <c r="G5" s="11">
        <v>8</v>
      </c>
      <c r="H5" s="12"/>
      <c r="I5" s="12">
        <v>5</v>
      </c>
      <c r="J5" s="34"/>
      <c r="L5" s="11">
        <v>0</v>
      </c>
    </row>
    <row r="6" spans="1:12" ht="15.75" customHeight="1">
      <c r="A6">
        <v>5</v>
      </c>
      <c r="B6" s="37" t="s">
        <v>52</v>
      </c>
      <c r="C6" s="38" t="s">
        <v>54</v>
      </c>
      <c r="D6" s="9" t="s">
        <v>23</v>
      </c>
      <c r="E6" s="40" t="s">
        <v>60</v>
      </c>
      <c r="F6" s="11">
        <v>3.5</v>
      </c>
      <c r="G6" s="11">
        <v>3.5</v>
      </c>
      <c r="H6" s="11">
        <v>1</v>
      </c>
      <c r="I6" s="12">
        <v>4</v>
      </c>
      <c r="J6" s="13">
        <v>1</v>
      </c>
      <c r="L6" s="11">
        <v>3.5</v>
      </c>
    </row>
    <row r="7" spans="1:12" ht="15.75" customHeight="1">
      <c r="A7">
        <v>6</v>
      </c>
      <c r="B7" s="37" t="s">
        <v>52</v>
      </c>
      <c r="C7" s="12" t="s">
        <v>55</v>
      </c>
      <c r="D7" s="9" t="s">
        <v>27</v>
      </c>
      <c r="E7" s="40" t="s">
        <v>60</v>
      </c>
      <c r="F7" s="11">
        <v>4</v>
      </c>
      <c r="G7" s="11">
        <v>4</v>
      </c>
      <c r="H7" s="11">
        <v>1</v>
      </c>
      <c r="I7" s="12">
        <v>3</v>
      </c>
      <c r="J7" s="13">
        <v>1</v>
      </c>
      <c r="L7" s="11">
        <v>4</v>
      </c>
    </row>
    <row r="8" spans="1:12" ht="15.75" customHeight="1">
      <c r="A8">
        <v>7</v>
      </c>
      <c r="B8" s="37" t="s">
        <v>52</v>
      </c>
      <c r="C8" s="38" t="s">
        <v>56</v>
      </c>
      <c r="D8" s="9" t="s">
        <v>29</v>
      </c>
      <c r="E8" s="40" t="s">
        <v>62</v>
      </c>
      <c r="F8" s="11">
        <v>9</v>
      </c>
      <c r="G8" s="41">
        <v>10</v>
      </c>
      <c r="H8" s="11">
        <v>1</v>
      </c>
      <c r="I8" s="12">
        <v>4</v>
      </c>
      <c r="J8" s="13">
        <v>3</v>
      </c>
      <c r="L8" s="11">
        <v>10</v>
      </c>
    </row>
    <row r="9" spans="1:12" ht="15.75" customHeight="1">
      <c r="A9">
        <v>8</v>
      </c>
      <c r="B9" s="37" t="s">
        <v>52</v>
      </c>
      <c r="C9" s="12"/>
      <c r="D9" s="9" t="s">
        <v>39</v>
      </c>
      <c r="E9" s="40" t="s">
        <v>60</v>
      </c>
      <c r="F9" s="11">
        <v>3</v>
      </c>
      <c r="G9" s="11">
        <v>3</v>
      </c>
      <c r="H9" s="12"/>
      <c r="I9" s="12">
        <v>3</v>
      </c>
      <c r="J9" s="34"/>
      <c r="L9" s="11">
        <v>0</v>
      </c>
    </row>
    <row r="10" spans="1:12" ht="15.75" customHeight="1">
      <c r="A10">
        <v>9</v>
      </c>
      <c r="B10" s="37" t="s">
        <v>52</v>
      </c>
      <c r="C10" s="38" t="s">
        <v>56</v>
      </c>
      <c r="D10" s="9" t="s">
        <v>31</v>
      </c>
      <c r="E10" s="40" t="s">
        <v>62</v>
      </c>
      <c r="F10" s="11">
        <v>2</v>
      </c>
      <c r="G10" s="11">
        <v>2</v>
      </c>
      <c r="H10" s="11">
        <v>2</v>
      </c>
      <c r="I10" s="12">
        <v>4</v>
      </c>
      <c r="J10" s="13">
        <v>2</v>
      </c>
      <c r="L10" s="11">
        <v>4</v>
      </c>
    </row>
    <row r="11" spans="1:12" ht="15.75" customHeight="1">
      <c r="A11">
        <v>10</v>
      </c>
      <c r="B11" s="37" t="s">
        <v>52</v>
      </c>
      <c r="C11" s="12" t="s">
        <v>55</v>
      </c>
      <c r="D11" s="9" t="s">
        <v>34</v>
      </c>
      <c r="E11" s="40" t="s">
        <v>60</v>
      </c>
      <c r="F11" s="11">
        <v>8</v>
      </c>
      <c r="G11" s="11">
        <v>8</v>
      </c>
      <c r="H11" s="11">
        <v>1</v>
      </c>
      <c r="I11" s="12">
        <v>3</v>
      </c>
      <c r="J11" s="13">
        <v>1</v>
      </c>
      <c r="L11" s="11">
        <v>8</v>
      </c>
    </row>
    <row r="12" spans="1:12" ht="15.75" customHeight="1">
      <c r="A12">
        <v>11</v>
      </c>
      <c r="B12" s="37" t="s">
        <v>52</v>
      </c>
      <c r="C12" s="38" t="s">
        <v>54</v>
      </c>
      <c r="D12" s="9" t="s">
        <v>36</v>
      </c>
      <c r="E12" s="40" t="s">
        <v>62</v>
      </c>
      <c r="F12" s="11">
        <v>6</v>
      </c>
      <c r="G12" s="11">
        <v>6</v>
      </c>
      <c r="H12" s="11">
        <v>1</v>
      </c>
      <c r="I12" s="12">
        <v>3</v>
      </c>
      <c r="J12" s="13">
        <v>3</v>
      </c>
      <c r="L12" s="11">
        <v>6</v>
      </c>
    </row>
    <row r="13" spans="1:12" ht="15.75" customHeight="1">
      <c r="A13">
        <v>12</v>
      </c>
      <c r="B13" s="37" t="s">
        <v>52</v>
      </c>
      <c r="C13" s="22" t="s">
        <v>55</v>
      </c>
      <c r="D13" s="9" t="s">
        <v>38</v>
      </c>
      <c r="E13" s="40" t="s">
        <v>62</v>
      </c>
      <c r="F13" s="11">
        <v>8</v>
      </c>
      <c r="G13">
        <v>10</v>
      </c>
      <c r="H13" s="11">
        <v>1</v>
      </c>
      <c r="I13" s="12">
        <v>1</v>
      </c>
      <c r="J13" s="13">
        <v>3</v>
      </c>
      <c r="L13" s="11">
        <v>10</v>
      </c>
    </row>
    <row r="14" spans="1:12" ht="15.75" customHeight="1">
      <c r="A14" s="24" t="s">
        <v>11</v>
      </c>
      <c r="E14" s="25"/>
      <c r="F14" s="25">
        <f>SUM(H2:H13)</f>
        <v>13</v>
      </c>
      <c r="H14" s="25"/>
      <c r="I14" s="25"/>
      <c r="J14" s="25"/>
      <c r="K14" s="25">
        <f>SUM(L2:L13)</f>
        <v>74</v>
      </c>
      <c r="L14" s="15"/>
    </row>
    <row r="15" spans="1:12" ht="15.7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2" ht="15.75" customHeight="1">
      <c r="A16" s="14"/>
      <c r="B16" s="30"/>
      <c r="C16" s="10"/>
      <c r="F16" s="17"/>
      <c r="G16" s="17"/>
      <c r="H16" s="17"/>
      <c r="I16" s="17"/>
      <c r="J16" s="14"/>
    </row>
    <row r="17" spans="1:10" ht="15.75" customHeight="1">
      <c r="A17" s="14"/>
      <c r="B17" s="15"/>
      <c r="C17" s="15"/>
      <c r="E17" s="17"/>
      <c r="F17" s="17"/>
      <c r="G17" s="17"/>
      <c r="H17" s="17"/>
      <c r="I17" s="17"/>
      <c r="J17" s="14"/>
    </row>
    <row r="18" spans="1:10" ht="15.75" customHeight="1">
      <c r="A18" s="14"/>
      <c r="B18" s="15"/>
      <c r="C18" s="14"/>
      <c r="D18" s="14"/>
      <c r="E18" s="17"/>
      <c r="F18" s="17"/>
      <c r="G18" s="17"/>
      <c r="H18" s="17"/>
      <c r="I18" s="17"/>
      <c r="J18" s="14"/>
    </row>
    <row r="19" spans="1:10" ht="15.75" customHeight="1">
      <c r="A19" s="14"/>
      <c r="B19" s="15"/>
      <c r="C19" s="14"/>
      <c r="D19" s="14"/>
      <c r="E19" s="17"/>
      <c r="F19" s="17"/>
      <c r="G19" s="17"/>
      <c r="H19" s="17"/>
      <c r="I19" s="17"/>
      <c r="J19" s="14"/>
    </row>
    <row r="20" spans="1:10" ht="15.75" customHeight="1">
      <c r="A20" s="14"/>
      <c r="B20" s="15"/>
      <c r="C20" s="15"/>
      <c r="D20" s="15"/>
      <c r="E20" s="17"/>
      <c r="F20" s="17"/>
      <c r="G20" s="17"/>
      <c r="H20" s="17"/>
      <c r="I20" s="17"/>
      <c r="J20" s="14"/>
    </row>
    <row r="21" spans="1:10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5.75" customHeight="1">
      <c r="A22" s="14"/>
      <c r="B22" s="15"/>
      <c r="C22" s="14"/>
      <c r="D22" s="14"/>
      <c r="E22" s="14"/>
      <c r="F22" s="14"/>
      <c r="G22" s="14"/>
      <c r="H22" s="14"/>
      <c r="I22" s="14"/>
      <c r="J22" s="14"/>
    </row>
    <row r="23" spans="1:10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spans="1:10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spans="1:10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spans="1:10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spans="1:10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spans="1:10" ht="15.75" customHeight="1">
      <c r="A30" s="14"/>
      <c r="B30" s="14"/>
      <c r="C30" s="14"/>
      <c r="D30" s="30"/>
      <c r="E30" s="14"/>
      <c r="F30" s="14"/>
      <c r="G30" s="14"/>
      <c r="H30" s="14"/>
      <c r="I30" s="14"/>
      <c r="J30" s="14"/>
    </row>
    <row r="31" spans="1:10" ht="15.75" customHeight="1">
      <c r="A31" s="14"/>
      <c r="B31" s="14"/>
      <c r="C31" s="14"/>
      <c r="D31" s="15"/>
      <c r="E31" s="14"/>
      <c r="F31" s="14"/>
      <c r="G31" s="14"/>
      <c r="H31" s="14"/>
      <c r="I31" s="14"/>
      <c r="J31" s="14"/>
    </row>
    <row r="32" spans="1:10" ht="15.75" customHeight="1">
      <c r="A32" s="14"/>
      <c r="B32" s="14"/>
      <c r="C32" s="14"/>
      <c r="D32" s="15"/>
      <c r="E32" s="14"/>
      <c r="F32" s="14"/>
      <c r="G32" s="14"/>
      <c r="H32" s="14"/>
      <c r="I32" s="14"/>
      <c r="J32" s="14"/>
    </row>
    <row r="33" spans="1:10" ht="15.75" customHeight="1">
      <c r="A33" s="14"/>
      <c r="B33" s="14"/>
      <c r="C33" s="14"/>
      <c r="D33" s="15"/>
      <c r="E33" s="14"/>
      <c r="F33" s="14"/>
      <c r="G33" s="14"/>
      <c r="H33" s="14"/>
      <c r="I33" s="14"/>
      <c r="J33" s="14"/>
    </row>
    <row r="34" spans="1:10" ht="15.75" customHeight="1">
      <c r="A34" s="14"/>
      <c r="B34" s="14"/>
      <c r="C34" s="14"/>
      <c r="D34" s="15"/>
      <c r="E34" s="14"/>
      <c r="F34" s="14"/>
      <c r="G34" s="14"/>
      <c r="H34" s="14"/>
      <c r="I34" s="14"/>
      <c r="J34" s="14"/>
    </row>
    <row r="35" spans="1:10" ht="15.75" customHeight="1">
      <c r="A35" s="14"/>
      <c r="B35" s="14"/>
      <c r="C35" s="14"/>
      <c r="D35" s="15"/>
      <c r="E35" s="14"/>
      <c r="F35" s="14"/>
      <c r="G35" s="14"/>
      <c r="H35" s="14"/>
      <c r="I35" s="14"/>
      <c r="J35" s="14"/>
    </row>
    <row r="36" spans="1:10" ht="15.75" customHeight="1">
      <c r="A36" s="14"/>
      <c r="B36" s="14"/>
      <c r="C36" s="14"/>
      <c r="D36" s="15"/>
      <c r="E36" s="14"/>
      <c r="F36" s="14"/>
      <c r="G36" s="14"/>
      <c r="H36" s="14"/>
      <c r="I36" s="14"/>
      <c r="J36" s="14"/>
    </row>
    <row r="37" spans="1:10" ht="15">
      <c r="A37" s="14"/>
      <c r="B37" s="14"/>
      <c r="C37" s="14"/>
      <c r="D37" s="15"/>
      <c r="E37" s="14"/>
      <c r="F37" s="14"/>
      <c r="G37" s="14"/>
      <c r="H37" s="14"/>
      <c r="I37" s="14"/>
      <c r="J37" s="14"/>
    </row>
    <row r="38" spans="1:10" ht="15">
      <c r="A38" s="14"/>
      <c r="B38" s="14"/>
      <c r="C38" s="14"/>
      <c r="D38" s="15"/>
      <c r="E38" s="14"/>
      <c r="F38" s="14"/>
      <c r="G38" s="14"/>
      <c r="H38" s="14"/>
      <c r="I38" s="14"/>
      <c r="J38" s="14"/>
    </row>
    <row r="39" spans="1:10" ht="15">
      <c r="A39" s="14"/>
      <c r="B39" s="14"/>
      <c r="C39" s="14"/>
      <c r="D39" s="15"/>
      <c r="E39" s="14"/>
      <c r="F39" s="14"/>
      <c r="G39" s="14"/>
      <c r="H39" s="14"/>
      <c r="I39" s="14"/>
      <c r="J39" s="14"/>
    </row>
    <row r="40" spans="1:10" ht="15">
      <c r="A40" s="14"/>
      <c r="B40" s="14"/>
      <c r="C40" s="14"/>
      <c r="D40" s="15"/>
      <c r="E40" s="14"/>
      <c r="F40" s="14"/>
      <c r="G40" s="14"/>
      <c r="H40" s="14"/>
      <c r="I40" s="14"/>
      <c r="J40" s="14"/>
    </row>
    <row r="41" spans="1:10" ht="15">
      <c r="A41" s="14"/>
      <c r="B41" s="14"/>
      <c r="C41" s="14"/>
      <c r="D41" s="15"/>
      <c r="E41" s="14"/>
      <c r="F41" s="14"/>
      <c r="G41" s="14"/>
      <c r="H41" s="14"/>
      <c r="I41" s="14"/>
      <c r="J41" s="14"/>
    </row>
    <row r="42" spans="1:10" ht="15">
      <c r="A42" s="14"/>
      <c r="B42" s="14"/>
      <c r="C42" s="14"/>
      <c r="D42" s="15"/>
      <c r="E42" s="14"/>
      <c r="F42" s="14"/>
      <c r="G42" s="14"/>
      <c r="H42" s="14"/>
      <c r="I42" s="14"/>
      <c r="J42" s="14"/>
    </row>
    <row r="43" spans="1:10" ht="15">
      <c r="A43" s="14"/>
      <c r="B43" s="14"/>
      <c r="C43" s="14"/>
      <c r="D43" s="15"/>
      <c r="E43" s="14"/>
      <c r="F43" s="14"/>
      <c r="G43" s="14"/>
      <c r="H43" s="14"/>
      <c r="I43" s="14"/>
      <c r="J43" s="14"/>
    </row>
  </sheetData>
  <conditionalFormatting sqref="G1:G2 B1:F13 H1:J13 L1:L13 G4:G12 A14 E14:F14 H14:L14">
    <cfRule type="containsBlanks" dxfId="2" priority="1">
      <formula>LEN(TRIM(A1))=0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43"/>
  <sheetViews>
    <sheetView workbookViewId="0">
      <selection activeCell="F12" sqref="F12"/>
    </sheetView>
  </sheetViews>
  <sheetFormatPr baseColWidth="10" defaultColWidth="12.5703125" defaultRowHeight="15.75" customHeight="1"/>
  <cols>
    <col min="2" max="2" width="16.42578125" bestFit="1" customWidth="1"/>
    <col min="3" max="3" width="15" customWidth="1"/>
    <col min="4" max="4" width="25.140625" bestFit="1" customWidth="1"/>
    <col min="6" max="6" width="24.42578125" bestFit="1" customWidth="1"/>
    <col min="7" max="7" width="21.140625" customWidth="1"/>
  </cols>
  <sheetData>
    <row r="1" spans="1:9" ht="15.75" customHeight="1">
      <c r="A1" s="4" t="s">
        <v>1</v>
      </c>
      <c r="B1" s="4" t="s">
        <v>3</v>
      </c>
      <c r="C1" s="4" t="s">
        <v>5</v>
      </c>
      <c r="D1" s="4" t="s">
        <v>7</v>
      </c>
      <c r="E1" s="4" t="s">
        <v>8</v>
      </c>
      <c r="F1" s="4" t="s">
        <v>9</v>
      </c>
      <c r="G1" s="4" t="s">
        <v>11</v>
      </c>
      <c r="H1" s="4" t="s">
        <v>12</v>
      </c>
    </row>
    <row r="2" spans="1:9" ht="15.75" customHeight="1">
      <c r="A2" s="9" t="s">
        <v>13</v>
      </c>
      <c r="B2" s="11">
        <v>2</v>
      </c>
      <c r="C2" s="11">
        <v>2.5</v>
      </c>
      <c r="D2" s="12"/>
      <c r="E2" s="11">
        <v>1</v>
      </c>
      <c r="F2" s="12" t="s">
        <v>14</v>
      </c>
      <c r="G2" s="11">
        <v>2.5</v>
      </c>
      <c r="H2" s="13">
        <v>2</v>
      </c>
    </row>
    <row r="3" spans="1:9" ht="15.75" customHeight="1">
      <c r="A3" s="9" t="s">
        <v>16</v>
      </c>
      <c r="B3" s="11">
        <v>4</v>
      </c>
      <c r="C3" s="11">
        <v>6</v>
      </c>
      <c r="D3" s="11">
        <v>8</v>
      </c>
      <c r="E3" s="11">
        <v>1</v>
      </c>
      <c r="F3" s="12" t="s">
        <v>18</v>
      </c>
      <c r="G3" s="11">
        <v>8</v>
      </c>
      <c r="H3" s="13">
        <v>3</v>
      </c>
    </row>
    <row r="4" spans="1:9" ht="15.75" customHeight="1">
      <c r="A4" s="9" t="s">
        <v>19</v>
      </c>
      <c r="B4" s="11">
        <v>4</v>
      </c>
      <c r="C4" s="11">
        <v>6</v>
      </c>
      <c r="D4" s="12"/>
      <c r="E4" s="11">
        <v>3</v>
      </c>
      <c r="F4" s="12" t="s">
        <v>22</v>
      </c>
      <c r="G4" s="11">
        <v>18</v>
      </c>
      <c r="H4" s="13">
        <v>1</v>
      </c>
    </row>
    <row r="5" spans="1:9" ht="15.75" customHeight="1">
      <c r="A5" s="9" t="s">
        <v>23</v>
      </c>
      <c r="B5" s="11">
        <v>2</v>
      </c>
      <c r="C5" s="11">
        <v>3.5</v>
      </c>
      <c r="D5" s="12"/>
      <c r="E5" s="11">
        <v>1</v>
      </c>
      <c r="F5" s="12" t="s">
        <v>25</v>
      </c>
      <c r="G5" s="11">
        <v>3.5</v>
      </c>
      <c r="H5" s="18">
        <v>1</v>
      </c>
    </row>
    <row r="6" spans="1:9" ht="15.75" customHeight="1">
      <c r="A6" s="9" t="s">
        <v>27</v>
      </c>
      <c r="B6" s="11">
        <v>1</v>
      </c>
      <c r="C6" s="11">
        <v>4</v>
      </c>
      <c r="D6" s="12"/>
      <c r="E6" s="11">
        <v>1</v>
      </c>
      <c r="F6" s="12" t="s">
        <v>22</v>
      </c>
      <c r="G6" s="11">
        <v>4</v>
      </c>
      <c r="H6" s="13">
        <v>1</v>
      </c>
    </row>
    <row r="7" spans="1:9" ht="15.75" customHeight="1">
      <c r="A7" s="9" t="s">
        <v>29</v>
      </c>
      <c r="B7" s="11">
        <v>6</v>
      </c>
      <c r="C7" s="11">
        <v>9</v>
      </c>
      <c r="D7" s="18">
        <v>10</v>
      </c>
      <c r="E7" s="11">
        <v>1</v>
      </c>
      <c r="F7" s="12" t="s">
        <v>30</v>
      </c>
      <c r="G7" s="11">
        <v>10</v>
      </c>
      <c r="H7" s="13">
        <v>3</v>
      </c>
    </row>
    <row r="8" spans="1:9" ht="15.75" customHeight="1">
      <c r="A8" s="9" t="s">
        <v>31</v>
      </c>
      <c r="B8" s="18">
        <v>1</v>
      </c>
      <c r="C8" s="11">
        <v>2</v>
      </c>
      <c r="D8" s="12"/>
      <c r="E8" s="11">
        <v>2</v>
      </c>
      <c r="F8" s="12" t="s">
        <v>32</v>
      </c>
      <c r="G8" s="11">
        <v>4</v>
      </c>
      <c r="H8" s="13">
        <v>2</v>
      </c>
    </row>
    <row r="9" spans="1:9" ht="15.75" customHeight="1">
      <c r="A9" s="9" t="s">
        <v>34</v>
      </c>
      <c r="B9" s="11">
        <v>5</v>
      </c>
      <c r="C9" s="11">
        <v>8</v>
      </c>
      <c r="D9" s="12"/>
      <c r="E9" s="11">
        <v>1</v>
      </c>
      <c r="F9" s="22" t="s">
        <v>22</v>
      </c>
      <c r="G9" s="11">
        <v>8</v>
      </c>
      <c r="H9" s="13">
        <v>1</v>
      </c>
    </row>
    <row r="10" spans="1:9" ht="15.75" customHeight="1">
      <c r="A10" s="9" t="s">
        <v>36</v>
      </c>
      <c r="B10" s="11">
        <v>4</v>
      </c>
      <c r="C10" s="11">
        <v>6</v>
      </c>
      <c r="D10" s="12"/>
      <c r="E10" s="11">
        <v>1</v>
      </c>
      <c r="F10" s="22" t="s">
        <v>37</v>
      </c>
      <c r="G10" s="11">
        <v>6</v>
      </c>
      <c r="H10" s="13">
        <v>3</v>
      </c>
    </row>
    <row r="11" spans="1:9" ht="15.75" customHeight="1">
      <c r="A11" s="9" t="s">
        <v>38</v>
      </c>
      <c r="B11" s="11">
        <v>5</v>
      </c>
      <c r="C11" s="11">
        <v>8</v>
      </c>
      <c r="D11" s="11">
        <v>10</v>
      </c>
      <c r="E11" s="11">
        <v>1</v>
      </c>
      <c r="F11" s="22" t="s">
        <v>18</v>
      </c>
      <c r="G11" s="11">
        <v>10</v>
      </c>
      <c r="H11" s="13">
        <v>3</v>
      </c>
    </row>
    <row r="12" spans="1:9" ht="15.75" customHeight="1">
      <c r="A12" s="24" t="s">
        <v>11</v>
      </c>
      <c r="B12" s="25">
        <f t="shared" ref="B12:G12" si="0">SUM(B2:B11)</f>
        <v>34</v>
      </c>
      <c r="C12" s="25">
        <f t="shared" si="0"/>
        <v>55</v>
      </c>
      <c r="D12" s="25">
        <f t="shared" si="0"/>
        <v>28</v>
      </c>
      <c r="E12" s="25">
        <f t="shared" si="0"/>
        <v>13</v>
      </c>
      <c r="F12" s="25">
        <f t="shared" si="0"/>
        <v>0</v>
      </c>
      <c r="G12" s="25">
        <f t="shared" si="0"/>
        <v>74</v>
      </c>
      <c r="H12" s="15"/>
    </row>
    <row r="15" spans="1:9" ht="15.7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spans="1:9" ht="15.75" customHeight="1">
      <c r="A16" s="14"/>
      <c r="B16" s="27" t="s">
        <v>43</v>
      </c>
      <c r="C16" s="28" t="s">
        <v>44</v>
      </c>
      <c r="F16" s="19" t="s">
        <v>2</v>
      </c>
      <c r="G16" s="19" t="s">
        <v>45</v>
      </c>
      <c r="H16" s="19" t="s">
        <v>46</v>
      </c>
      <c r="I16" s="14"/>
    </row>
    <row r="17" spans="1:9" ht="15.75" customHeight="1">
      <c r="A17" s="29" t="s">
        <v>47</v>
      </c>
      <c r="B17" s="31">
        <v>9.5</v>
      </c>
      <c r="C17" s="31">
        <f>G9+G6+G5+G4</f>
        <v>33.5</v>
      </c>
      <c r="E17" s="19" t="s">
        <v>35</v>
      </c>
      <c r="F17" s="32">
        <f>AVERAGE(B2:B11)</f>
        <v>3.4</v>
      </c>
      <c r="G17" s="32">
        <f>AVERAGE(C2:C11)</f>
        <v>5.5</v>
      </c>
      <c r="H17" s="32">
        <f>AVERAGE(G2:G11)</f>
        <v>7.4</v>
      </c>
      <c r="I17" s="14"/>
    </row>
    <row r="18" spans="1:9" ht="15.75" customHeight="1">
      <c r="A18" s="29" t="s">
        <v>48</v>
      </c>
      <c r="B18" s="31">
        <v>7.5</v>
      </c>
      <c r="C18" s="33">
        <f>G2+G8</f>
        <v>6.5</v>
      </c>
      <c r="D18" s="14"/>
      <c r="E18" s="19" t="s">
        <v>40</v>
      </c>
      <c r="F18" s="32">
        <f>MODE(B2:B11)</f>
        <v>4</v>
      </c>
      <c r="G18" s="32">
        <f>MODE(C2:C11)</f>
        <v>6</v>
      </c>
      <c r="H18" s="32">
        <f>MODE(G2:G11)</f>
        <v>8</v>
      </c>
      <c r="I18" s="14"/>
    </row>
    <row r="19" spans="1:9" ht="15.75" customHeight="1">
      <c r="A19" s="29" t="s">
        <v>49</v>
      </c>
      <c r="B19" s="31">
        <v>4</v>
      </c>
      <c r="C19" s="33">
        <f>G11+G10+G7+G3</f>
        <v>34</v>
      </c>
      <c r="D19" s="14"/>
      <c r="E19" s="19" t="s">
        <v>41</v>
      </c>
      <c r="F19" s="32">
        <f>VAR(B2:B11)</f>
        <v>3.1555555555555563</v>
      </c>
      <c r="G19" s="32">
        <f>VAR(C2:C11)</f>
        <v>5.8888888888888893</v>
      </c>
      <c r="H19" s="32">
        <f>VAR(G2:G11)</f>
        <v>21.211111111111109</v>
      </c>
      <c r="I19" s="14"/>
    </row>
    <row r="20" spans="1:9" ht="15.75" customHeight="1">
      <c r="A20" s="29" t="s">
        <v>50</v>
      </c>
      <c r="B20" s="31">
        <f t="shared" ref="B20:C20" si="1">SUM(B17:B19)</f>
        <v>21</v>
      </c>
      <c r="C20" s="31">
        <f t="shared" si="1"/>
        <v>74</v>
      </c>
      <c r="D20" s="15"/>
      <c r="E20" s="19" t="s">
        <v>42</v>
      </c>
      <c r="F20" s="32">
        <f>VARP(B2:B11)</f>
        <v>2.84</v>
      </c>
      <c r="G20" s="32">
        <f>VARP(C2:C11)</f>
        <v>5.3</v>
      </c>
      <c r="H20" s="32">
        <f>VARP(G2:G11)</f>
        <v>19.09</v>
      </c>
      <c r="I20" s="14"/>
    </row>
    <row r="21" spans="1:9" ht="15.7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5.75" customHeight="1">
      <c r="A22" s="24" t="s">
        <v>46</v>
      </c>
      <c r="B22" s="25">
        <f>G12-B12-B20</f>
        <v>19</v>
      </c>
      <c r="C22" s="14"/>
      <c r="D22" s="14"/>
      <c r="E22" s="14"/>
      <c r="F22" s="14"/>
      <c r="G22" s="14"/>
      <c r="H22" s="14"/>
      <c r="I22" s="14"/>
    </row>
    <row r="23" spans="1:9" ht="15.75" customHeight="1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5.75" customHeight="1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5.75" customHeight="1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5.75" customHeight="1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5.75" customHeight="1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5.75" customHeight="1">
      <c r="A28" s="14"/>
      <c r="B28" s="14"/>
      <c r="C28" s="14"/>
      <c r="D28" s="14"/>
      <c r="E28" s="14"/>
      <c r="F28" s="14"/>
      <c r="G28" s="14"/>
      <c r="H28" s="14"/>
      <c r="I28" s="14"/>
    </row>
    <row r="29" spans="1:9" ht="15.75" customHeight="1">
      <c r="A29" s="14"/>
      <c r="B29" s="14"/>
      <c r="C29" s="14"/>
      <c r="D29" s="14"/>
      <c r="E29" s="14"/>
      <c r="F29" s="14"/>
      <c r="G29" s="14"/>
      <c r="H29" s="14"/>
      <c r="I29" s="14"/>
    </row>
    <row r="30" spans="1:9" ht="15.75" customHeight="1">
      <c r="A30" s="14"/>
      <c r="B30" s="14"/>
      <c r="C30" s="14"/>
      <c r="D30" s="30"/>
      <c r="E30" s="14"/>
      <c r="F30" s="14"/>
      <c r="G30" s="14"/>
      <c r="H30" s="14"/>
      <c r="I30" s="14"/>
    </row>
    <row r="31" spans="1:9" ht="15.75" customHeight="1">
      <c r="A31" s="14"/>
      <c r="B31" s="14"/>
      <c r="C31" s="14"/>
      <c r="D31" s="15"/>
      <c r="E31" s="14"/>
      <c r="F31" s="14"/>
      <c r="G31" s="14"/>
      <c r="H31" s="14"/>
      <c r="I31" s="14"/>
    </row>
    <row r="32" spans="1:9" ht="15.75" customHeight="1">
      <c r="A32" s="14"/>
      <c r="B32" s="14"/>
      <c r="C32" s="14"/>
      <c r="D32" s="15"/>
      <c r="E32" s="14"/>
      <c r="F32" s="14"/>
      <c r="G32" s="14"/>
      <c r="H32" s="14"/>
      <c r="I32" s="14"/>
    </row>
    <row r="33" spans="1:9" ht="15.75" customHeight="1">
      <c r="A33" s="14"/>
      <c r="B33" s="14"/>
      <c r="C33" s="14"/>
      <c r="D33" s="15"/>
      <c r="E33" s="14"/>
      <c r="F33" s="14"/>
      <c r="G33" s="14"/>
      <c r="H33" s="14"/>
      <c r="I33" s="14"/>
    </row>
    <row r="34" spans="1:9" ht="15.75" customHeight="1">
      <c r="A34" s="14"/>
      <c r="B34" s="14"/>
      <c r="C34" s="14"/>
      <c r="D34" s="15"/>
      <c r="E34" s="14"/>
      <c r="F34" s="14"/>
      <c r="G34" s="14"/>
      <c r="H34" s="14"/>
      <c r="I34" s="14"/>
    </row>
    <row r="35" spans="1:9" ht="15.75" customHeight="1">
      <c r="A35" s="14"/>
      <c r="B35" s="14"/>
      <c r="C35" s="14"/>
      <c r="D35" s="15"/>
      <c r="E35" s="14"/>
      <c r="F35" s="14"/>
      <c r="G35" s="14"/>
      <c r="H35" s="14"/>
      <c r="I35" s="14"/>
    </row>
    <row r="36" spans="1:9" ht="15.75" customHeight="1">
      <c r="A36" s="14"/>
      <c r="B36" s="14"/>
      <c r="C36" s="14"/>
      <c r="D36" s="15"/>
      <c r="E36" s="14"/>
      <c r="F36" s="14"/>
      <c r="G36" s="14"/>
      <c r="H36" s="14"/>
      <c r="I36" s="14"/>
    </row>
    <row r="37" spans="1:9" ht="15">
      <c r="A37" s="14"/>
      <c r="B37" s="14"/>
      <c r="C37" s="14"/>
      <c r="D37" s="15"/>
      <c r="E37" s="14"/>
      <c r="F37" s="14"/>
      <c r="G37" s="14"/>
      <c r="H37" s="14"/>
      <c r="I37" s="14"/>
    </row>
    <row r="38" spans="1:9" ht="15">
      <c r="A38" s="14"/>
      <c r="B38" s="14"/>
      <c r="C38" s="14"/>
      <c r="D38" s="15"/>
      <c r="E38" s="14"/>
      <c r="F38" s="14"/>
      <c r="G38" s="14"/>
      <c r="H38" s="14"/>
      <c r="I38" s="14"/>
    </row>
    <row r="39" spans="1:9" ht="15">
      <c r="A39" s="14"/>
      <c r="B39" s="14"/>
      <c r="C39" s="14"/>
      <c r="D39" s="15"/>
      <c r="E39" s="14"/>
      <c r="F39" s="14"/>
      <c r="G39" s="14"/>
      <c r="H39" s="14"/>
      <c r="I39" s="14"/>
    </row>
    <row r="40" spans="1:9" ht="15">
      <c r="A40" s="14"/>
      <c r="B40" s="14"/>
      <c r="C40" s="14"/>
      <c r="D40" s="15"/>
      <c r="E40" s="14"/>
      <c r="F40" s="14"/>
      <c r="G40" s="14"/>
      <c r="H40" s="14"/>
      <c r="I40" s="14"/>
    </row>
    <row r="41" spans="1:9" ht="15">
      <c r="A41" s="14"/>
      <c r="B41" s="14"/>
      <c r="C41" s="14"/>
      <c r="D41" s="15"/>
      <c r="E41" s="14"/>
      <c r="F41" s="14"/>
      <c r="G41" s="14"/>
      <c r="H41" s="14"/>
      <c r="I41" s="14"/>
    </row>
    <row r="42" spans="1:9" ht="15">
      <c r="A42" s="14"/>
      <c r="B42" s="14"/>
      <c r="C42" s="14"/>
      <c r="D42" s="15"/>
      <c r="E42" s="14"/>
      <c r="F42" s="14"/>
      <c r="G42" s="14"/>
      <c r="H42" s="14"/>
      <c r="I42" s="14"/>
    </row>
    <row r="43" spans="1:9" ht="15">
      <c r="A43" s="14"/>
      <c r="B43" s="14"/>
      <c r="C43" s="14"/>
      <c r="D43" s="15"/>
      <c r="E43" s="14"/>
      <c r="F43" s="14"/>
      <c r="G43" s="14"/>
      <c r="H43" s="14"/>
      <c r="I43" s="14"/>
    </row>
  </sheetData>
  <conditionalFormatting sqref="A1:H11">
    <cfRule type="containsBlanks" dxfId="1" priority="1">
      <formula>LEN(TRIM(A1))=0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3"/>
  <sheetViews>
    <sheetView workbookViewId="0"/>
  </sheetViews>
  <sheetFormatPr baseColWidth="10" defaultColWidth="12.5703125" defaultRowHeight="15.75" customHeight="1"/>
  <cols>
    <col min="1" max="1" width="14.28515625" customWidth="1"/>
    <col min="2" max="2" width="22.85546875" customWidth="1"/>
  </cols>
  <sheetData>
    <row r="1" spans="1:4">
      <c r="A1" s="1" t="s">
        <v>0</v>
      </c>
      <c r="B1" s="3" t="s">
        <v>2</v>
      </c>
      <c r="C1" s="5" t="s">
        <v>4</v>
      </c>
      <c r="D1" s="3" t="s">
        <v>6</v>
      </c>
    </row>
    <row r="2" spans="1:4">
      <c r="A2" s="6">
        <v>21</v>
      </c>
      <c r="B2" s="7" t="s">
        <v>10</v>
      </c>
      <c r="C2" s="6">
        <v>2</v>
      </c>
      <c r="D2" s="7">
        <v>4</v>
      </c>
    </row>
    <row r="3" spans="1:4">
      <c r="A3" s="6"/>
      <c r="B3" s="7" t="s">
        <v>15</v>
      </c>
      <c r="C3" s="6">
        <v>1</v>
      </c>
      <c r="D3" s="7">
        <v>4.3</v>
      </c>
    </row>
    <row r="4" spans="1:4">
      <c r="A4" s="6"/>
      <c r="B4" s="7" t="s">
        <v>17</v>
      </c>
      <c r="C4" s="6">
        <v>1</v>
      </c>
      <c r="D4" s="7">
        <v>5.5</v>
      </c>
    </row>
    <row r="5" spans="1:4">
      <c r="A5" s="6"/>
      <c r="B5" s="7" t="s">
        <v>21</v>
      </c>
      <c r="C5" s="6">
        <v>1</v>
      </c>
      <c r="D5" s="7">
        <v>3.2</v>
      </c>
    </row>
    <row r="6" spans="1:4">
      <c r="A6" s="6"/>
      <c r="B6" s="7" t="s">
        <v>24</v>
      </c>
      <c r="C6" s="6">
        <v>1</v>
      </c>
      <c r="D6" s="7">
        <v>4</v>
      </c>
    </row>
    <row r="7" spans="1:4">
      <c r="C7" s="19" t="s">
        <v>26</v>
      </c>
      <c r="D7" s="19">
        <f>SUM(D2:D6)</f>
        <v>21</v>
      </c>
    </row>
    <row r="9" spans="1:4">
      <c r="B9" s="21" t="s">
        <v>33</v>
      </c>
      <c r="C9" s="17"/>
    </row>
    <row r="10" spans="1:4">
      <c r="A10" s="19" t="s">
        <v>35</v>
      </c>
      <c r="B10" s="23">
        <f>AVERAGE(D2:D6)</f>
        <v>4.2</v>
      </c>
    </row>
    <row r="11" spans="1:4">
      <c r="A11" s="19" t="s">
        <v>40</v>
      </c>
      <c r="B11" s="23">
        <f>MODE(D2:D6)</f>
        <v>4</v>
      </c>
    </row>
    <row r="12" spans="1:4">
      <c r="A12" s="19" t="s">
        <v>41</v>
      </c>
      <c r="B12" s="23">
        <f>VAR(D2:D6)</f>
        <v>0.69499999999999673</v>
      </c>
    </row>
    <row r="13" spans="1:4">
      <c r="A13" s="19" t="s">
        <v>42</v>
      </c>
      <c r="B13" s="23">
        <f>VARP(D2:D6)</f>
        <v>0.55599999999999905</v>
      </c>
    </row>
  </sheetData>
  <conditionalFormatting sqref="A1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2"/>
  <sheetViews>
    <sheetView tabSelected="1" workbookViewId="0">
      <selection activeCell="B1" sqref="B1"/>
    </sheetView>
  </sheetViews>
  <sheetFormatPr baseColWidth="10" defaultColWidth="12.5703125" defaultRowHeight="15.75" customHeight="1"/>
  <cols>
    <col min="2" max="2" width="16.42578125" bestFit="1" customWidth="1"/>
    <col min="3" max="3" width="12.85546875" bestFit="1" customWidth="1"/>
  </cols>
  <sheetData>
    <row r="1" spans="1:12" ht="15.75" customHeight="1">
      <c r="A1" s="2" t="s">
        <v>1</v>
      </c>
      <c r="B1" s="4" t="s">
        <v>3</v>
      </c>
      <c r="C1" s="4" t="s">
        <v>5</v>
      </c>
      <c r="D1" s="8"/>
      <c r="E1" s="10"/>
      <c r="F1" s="8"/>
      <c r="G1" s="10"/>
      <c r="H1" s="10"/>
      <c r="I1" s="10"/>
    </row>
    <row r="2" spans="1:12" ht="15.75" customHeight="1">
      <c r="A2" s="9" t="s">
        <v>13</v>
      </c>
      <c r="B2" s="11">
        <v>2</v>
      </c>
      <c r="C2" s="11">
        <v>2.5</v>
      </c>
      <c r="D2" s="14"/>
      <c r="E2" s="14"/>
      <c r="F2" s="15"/>
      <c r="G2" s="14"/>
      <c r="H2" s="15"/>
      <c r="I2" s="16"/>
      <c r="L2" s="17" t="s">
        <v>20</v>
      </c>
    </row>
    <row r="3" spans="1:12" ht="15.75" customHeight="1">
      <c r="A3" s="9" t="s">
        <v>16</v>
      </c>
      <c r="B3" s="11">
        <v>4</v>
      </c>
      <c r="C3" s="11">
        <v>6</v>
      </c>
      <c r="D3" s="15"/>
      <c r="E3" s="14"/>
      <c r="F3" s="15"/>
      <c r="G3" s="14"/>
      <c r="H3" s="15"/>
      <c r="I3" s="16"/>
    </row>
    <row r="4" spans="1:12" ht="15.75" customHeight="1">
      <c r="A4" s="9" t="s">
        <v>19</v>
      </c>
      <c r="B4" s="11">
        <v>4</v>
      </c>
      <c r="C4" s="11">
        <v>6</v>
      </c>
      <c r="D4" s="14"/>
      <c r="E4" s="14"/>
      <c r="F4" s="15"/>
      <c r="G4" s="14"/>
      <c r="H4" s="15"/>
      <c r="I4" s="16"/>
    </row>
    <row r="5" spans="1:12" ht="15.75" customHeight="1">
      <c r="A5" s="9" t="s">
        <v>28</v>
      </c>
      <c r="B5" s="11">
        <v>6</v>
      </c>
      <c r="C5" s="11">
        <v>8</v>
      </c>
      <c r="D5" s="14"/>
      <c r="E5" s="14"/>
      <c r="F5" s="14"/>
      <c r="G5" s="14"/>
      <c r="H5" s="15"/>
      <c r="I5" s="20"/>
    </row>
    <row r="6" spans="1:12" ht="15.75" customHeight="1">
      <c r="A6" s="9" t="s">
        <v>23</v>
      </c>
      <c r="B6" s="11">
        <v>2</v>
      </c>
      <c r="C6" s="11">
        <v>3.5</v>
      </c>
      <c r="D6" s="14"/>
      <c r="E6" s="14"/>
      <c r="F6" s="15"/>
      <c r="G6" s="14"/>
      <c r="H6" s="15"/>
      <c r="I6" s="16"/>
    </row>
    <row r="7" spans="1:12" ht="15.75" customHeight="1">
      <c r="A7" s="9" t="s">
        <v>27</v>
      </c>
      <c r="B7" s="11">
        <v>1</v>
      </c>
      <c r="C7" s="11">
        <v>4</v>
      </c>
      <c r="D7" s="14"/>
      <c r="E7" s="14"/>
      <c r="F7" s="15"/>
      <c r="G7" s="14"/>
      <c r="H7" s="15"/>
      <c r="I7" s="16"/>
    </row>
    <row r="8" spans="1:12" ht="15.75" customHeight="1">
      <c r="A8" s="9" t="s">
        <v>29</v>
      </c>
      <c r="B8" s="11">
        <v>6</v>
      </c>
      <c r="C8" s="11">
        <v>9</v>
      </c>
      <c r="D8" s="15"/>
      <c r="E8" s="14"/>
      <c r="F8" s="15"/>
      <c r="G8" s="14"/>
      <c r="H8" s="15"/>
      <c r="I8" s="16"/>
    </row>
    <row r="9" spans="1:12" ht="15.75" customHeight="1">
      <c r="A9" s="9" t="s">
        <v>39</v>
      </c>
      <c r="B9" s="11">
        <v>2</v>
      </c>
      <c r="C9" s="11">
        <v>3</v>
      </c>
      <c r="D9" s="14"/>
      <c r="E9" s="14"/>
      <c r="F9" s="14"/>
      <c r="G9" s="14"/>
      <c r="H9" s="15"/>
      <c r="I9" s="20"/>
    </row>
    <row r="10" spans="1:12" ht="15.75" customHeight="1">
      <c r="A10" s="9" t="s">
        <v>31</v>
      </c>
      <c r="B10" s="18">
        <v>1</v>
      </c>
      <c r="C10" s="11">
        <v>2</v>
      </c>
      <c r="D10" s="14"/>
      <c r="E10" s="14"/>
      <c r="F10" s="15"/>
      <c r="G10" s="14"/>
      <c r="H10" s="15"/>
      <c r="I10" s="16"/>
    </row>
    <row r="11" spans="1:12" ht="15.75" customHeight="1">
      <c r="A11" s="9" t="s">
        <v>34</v>
      </c>
      <c r="B11" s="11">
        <v>5</v>
      </c>
      <c r="C11" s="11">
        <v>8</v>
      </c>
      <c r="D11" s="14"/>
      <c r="E11" s="14"/>
      <c r="F11" s="15"/>
      <c r="G11" s="14"/>
      <c r="H11" s="15"/>
      <c r="I11" s="16"/>
    </row>
    <row r="12" spans="1:12" ht="15.75" customHeight="1">
      <c r="A12" s="9" t="s">
        <v>36</v>
      </c>
      <c r="B12" s="11">
        <v>4</v>
      </c>
      <c r="C12" s="11">
        <v>6</v>
      </c>
      <c r="D12" s="14"/>
      <c r="E12" s="14"/>
      <c r="F12" s="15"/>
      <c r="G12" s="26"/>
      <c r="H12" s="15"/>
      <c r="I12" s="16"/>
    </row>
    <row r="13" spans="1:12" ht="15.75" customHeight="1">
      <c r="A13" s="9" t="s">
        <v>38</v>
      </c>
      <c r="B13" s="11">
        <v>5</v>
      </c>
      <c r="C13" s="11">
        <v>8</v>
      </c>
      <c r="D13" s="15"/>
      <c r="E13" s="14"/>
      <c r="F13" s="15"/>
      <c r="G13" s="26"/>
      <c r="H13" s="15"/>
      <c r="I13" s="16"/>
    </row>
    <row r="14" spans="1:12" ht="15.75" customHeight="1">
      <c r="A14" s="24" t="s">
        <v>11</v>
      </c>
      <c r="B14" s="25">
        <f t="shared" ref="B14:C14" si="0">SUM(B2:B13)</f>
        <v>42</v>
      </c>
      <c r="C14" s="25">
        <f t="shared" si="0"/>
        <v>66</v>
      </c>
      <c r="D14" s="15"/>
      <c r="E14" s="15"/>
      <c r="F14" s="15"/>
      <c r="G14" s="15"/>
      <c r="H14" s="15"/>
      <c r="I14" s="15"/>
    </row>
    <row r="15" spans="1:12" ht="15.75" customHeight="1">
      <c r="A15" s="14"/>
      <c r="B15" s="14"/>
      <c r="C15" s="14"/>
      <c r="D15" s="14"/>
      <c r="E15" s="14"/>
      <c r="F15" s="14"/>
      <c r="G15" s="14"/>
      <c r="H15" s="14"/>
      <c r="I15" s="14"/>
    </row>
    <row r="16" spans="1:12" ht="15.75" customHeight="1">
      <c r="A16" s="14"/>
      <c r="B16" s="30"/>
      <c r="C16" s="10"/>
      <c r="E16" s="14"/>
      <c r="F16" s="14"/>
      <c r="G16" s="14"/>
      <c r="H16" s="14"/>
      <c r="I16" s="14"/>
    </row>
    <row r="17" spans="1:9" ht="15.75" customHeight="1">
      <c r="A17" s="14"/>
      <c r="B17" s="15"/>
      <c r="C17" s="15"/>
      <c r="E17" s="14"/>
      <c r="F17" s="14"/>
      <c r="G17" s="14"/>
      <c r="H17" s="14"/>
      <c r="I17" s="14"/>
    </row>
    <row r="18" spans="1:9" ht="15.75" customHeight="1">
      <c r="A18" s="14"/>
      <c r="B18" s="15"/>
      <c r="C18" s="14"/>
      <c r="D18" s="14"/>
      <c r="E18" s="14"/>
      <c r="F18" s="14"/>
      <c r="G18" s="14"/>
      <c r="H18" s="14"/>
      <c r="I18" s="14"/>
    </row>
    <row r="19" spans="1:9" ht="15.75" customHeight="1">
      <c r="A19" s="14"/>
      <c r="B19" s="15"/>
      <c r="C19" s="14"/>
      <c r="D19" s="14"/>
      <c r="E19" s="14"/>
      <c r="F19" s="14"/>
      <c r="G19" s="14"/>
      <c r="H19" s="14"/>
      <c r="I19" s="14"/>
    </row>
    <row r="20" spans="1:9" ht="15.75" customHeight="1">
      <c r="A20" s="14"/>
      <c r="B20" s="15"/>
      <c r="C20" s="15"/>
      <c r="D20" s="15"/>
      <c r="E20" s="14"/>
      <c r="F20" s="14"/>
      <c r="G20" s="14"/>
      <c r="H20" s="14"/>
      <c r="I20" s="14"/>
    </row>
    <row r="21" spans="1:9" ht="15.75" customHeight="1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5.75" customHeight="1">
      <c r="A22" s="14"/>
      <c r="B22" s="15"/>
      <c r="C22" s="14"/>
      <c r="D22" s="14"/>
      <c r="E22" s="14"/>
      <c r="F22" s="14"/>
      <c r="G22" s="14"/>
      <c r="H22" s="14"/>
      <c r="I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 1</vt:lpstr>
      <vt:lpstr>Hoja.1.1</vt:lpstr>
      <vt:lpstr>Hoja 2</vt:lpstr>
      <vt:lpstr>Hoja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</dc:creator>
  <cp:lastModifiedBy>Ira Taylor</cp:lastModifiedBy>
  <dcterms:created xsi:type="dcterms:W3CDTF">2026-08-12T05:48:04Z</dcterms:created>
  <dcterms:modified xsi:type="dcterms:W3CDTF">2026-08-12T06:43:56Z</dcterms:modified>
</cp:coreProperties>
</file>